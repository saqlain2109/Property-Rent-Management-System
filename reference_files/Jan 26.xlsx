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My Drive\Akbar laptop one drive (1)\Personel\Accounts\Account System\"/>
    </mc:Choice>
  </mc:AlternateContent>
  <xr:revisionPtr revIDLastSave="0" documentId="13_ncr:1_{50E1D949-E51B-41D2-BDD4-18FE28D31F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7OKV0f6uORVZGj6Axp9GI/Fx8SNgNud+KtHbFMzKQoM="/>
    </ext>
  </extLst>
</workbook>
</file>

<file path=xl/calcChain.xml><?xml version="1.0" encoding="utf-8"?>
<calcChain xmlns="http://schemas.openxmlformats.org/spreadsheetml/2006/main">
  <c r="J11" i="1" l="1"/>
  <c r="L9" i="1"/>
  <c r="K9" i="1"/>
  <c r="J9" i="1"/>
  <c r="I9" i="1"/>
  <c r="K11" i="1" l="1"/>
  <c r="M7" i="1"/>
  <c r="M6" i="1"/>
  <c r="M5" i="1"/>
  <c r="O5" i="1" s="1"/>
  <c r="N9" i="1"/>
  <c r="N11" i="1" s="1"/>
  <c r="M8" i="1"/>
  <c r="D42" i="1" l="1"/>
  <c r="G126" i="1" l="1"/>
  <c r="I9" i="2"/>
  <c r="H9" i="2"/>
  <c r="G9" i="2"/>
  <c r="F9" i="2"/>
  <c r="E8" i="2"/>
  <c r="J8" i="2" s="1"/>
  <c r="J7" i="2"/>
  <c r="J6" i="2"/>
  <c r="J5" i="2"/>
  <c r="PS376" i="1"/>
  <c r="H133" i="1"/>
  <c r="D105" i="1"/>
  <c r="J9" i="2" l="1"/>
  <c r="K10" i="2" s="1"/>
  <c r="L10" i="2" s="1"/>
  <c r="D107" i="1"/>
  <c r="D110" i="1" s="1"/>
  <c r="E9" i="2"/>
</calcChain>
</file>

<file path=xl/sharedStrings.xml><?xml version="1.0" encoding="utf-8"?>
<sst xmlns="http://schemas.openxmlformats.org/spreadsheetml/2006/main" count="240" uniqueCount="143">
  <si>
    <t xml:space="preserve"> </t>
  </si>
  <si>
    <t>company       has to pay aknbar                                   188000/       please deduct this amt from the company   n credit it to you’re a/c   perssonal a/c02</t>
  </si>
  <si>
    <t>Month</t>
  </si>
  <si>
    <t>Sr.No.</t>
  </si>
  <si>
    <t>Tenant</t>
  </si>
  <si>
    <t>Comments</t>
  </si>
  <si>
    <t>Kotak Godaown</t>
  </si>
  <si>
    <t xml:space="preserve"> pd till July 25 in total for all properties , all amount added in Kotak</t>
  </si>
  <si>
    <t>\</t>
  </si>
  <si>
    <t>Go1</t>
  </si>
  <si>
    <t>Rehan</t>
  </si>
  <si>
    <t>Go2</t>
  </si>
  <si>
    <t>Mahendra bhai</t>
  </si>
  <si>
    <t>Rent is paid till dec 23, pd 41000 in jul, 25000 in Aug  bal is 42000. Empty</t>
  </si>
  <si>
    <t xml:space="preserve">Baranker room    </t>
  </si>
  <si>
    <t>Ba2</t>
  </si>
  <si>
    <t>Uttam</t>
  </si>
  <si>
    <t>Paid Aug 25</t>
  </si>
  <si>
    <t>ANJANAashok salunke</t>
  </si>
  <si>
    <t>Dinesh Chaklani- Santosh</t>
  </si>
  <si>
    <t>Paid Oct 25</t>
  </si>
  <si>
    <t>Garage</t>
  </si>
  <si>
    <t>Ga1</t>
  </si>
  <si>
    <t xml:space="preserve">                  </t>
  </si>
  <si>
    <t>Ga2</t>
  </si>
  <si>
    <t>DG Cable</t>
  </si>
  <si>
    <t>S</t>
  </si>
  <si>
    <t>Anand</t>
  </si>
  <si>
    <t>Ho1</t>
  </si>
  <si>
    <t>altaf</t>
  </si>
  <si>
    <t>Ennas Room</t>
  </si>
  <si>
    <t>En1</t>
  </si>
  <si>
    <t>Mani mansion</t>
  </si>
  <si>
    <t>Ma1</t>
  </si>
  <si>
    <t>Aswini Derad Monga</t>
  </si>
  <si>
    <t xml:space="preserve">             </t>
  </si>
  <si>
    <t>To1</t>
  </si>
  <si>
    <t xml:space="preserve"> a)Asgar</t>
  </si>
  <si>
    <t>Santu  Hajra</t>
  </si>
  <si>
    <t>Byculla Club</t>
  </si>
  <si>
    <t>By1</t>
  </si>
  <si>
    <t>Paid 40,000 of may 25 + 5,20,000 i.e for 12 months of cash @ 40,000*7 +48000*5 from nov 25 rent is increase to 88000 permonth. Cash is payed up to 31st Mar 26 and check is payed every month of 40,000</t>
  </si>
  <si>
    <t>By2</t>
  </si>
  <si>
    <t>ROMEL</t>
  </si>
  <si>
    <t>Kandivili</t>
  </si>
  <si>
    <t>Total</t>
  </si>
  <si>
    <t xml:space="preserve">  </t>
  </si>
  <si>
    <t xml:space="preserve">Actual Expense Statement </t>
  </si>
  <si>
    <t>Property</t>
  </si>
  <si>
    <t>Koe1</t>
  </si>
  <si>
    <t>Maintainance</t>
  </si>
  <si>
    <t xml:space="preserve">                                  </t>
  </si>
  <si>
    <t>Koe2</t>
  </si>
  <si>
    <t>Koe3</t>
  </si>
  <si>
    <t>Other expenses</t>
  </si>
  <si>
    <t>65 no godown</t>
  </si>
  <si>
    <t>Goe1</t>
  </si>
  <si>
    <t>Goe2</t>
  </si>
  <si>
    <t>Rent</t>
  </si>
  <si>
    <t>Goe3</t>
  </si>
  <si>
    <t>Garage snip</t>
  </si>
  <si>
    <t>s</t>
  </si>
  <si>
    <t>Ga3</t>
  </si>
  <si>
    <t>Ene1</t>
  </si>
  <si>
    <t>Ene2</t>
  </si>
  <si>
    <t>Ene3</t>
  </si>
  <si>
    <t>Mae1</t>
  </si>
  <si>
    <t>Mae2</t>
  </si>
  <si>
    <t>Mae3</t>
  </si>
  <si>
    <t>goa  flat</t>
  </si>
  <si>
    <t>Tonys room</t>
  </si>
  <si>
    <t>Toe1</t>
  </si>
  <si>
    <t>Toe2</t>
  </si>
  <si>
    <t>To3</t>
  </si>
  <si>
    <t xml:space="preserve">Buyculla club </t>
  </si>
  <si>
    <t>Bye1</t>
  </si>
  <si>
    <t>Bye2</t>
  </si>
  <si>
    <t>Bye3</t>
  </si>
  <si>
    <t xml:space="preserve">Kandivli </t>
  </si>
  <si>
    <t>Oe1</t>
  </si>
  <si>
    <t>Oe2</t>
  </si>
  <si>
    <t>Oe3</t>
  </si>
  <si>
    <t>Oe4</t>
  </si>
  <si>
    <t>Zakat Company</t>
  </si>
  <si>
    <t>Akbar payment</t>
  </si>
  <si>
    <t>mom,s senior citizen card</t>
  </si>
  <si>
    <t>death certificate</t>
  </si>
  <si>
    <t>ET</t>
  </si>
  <si>
    <t>Diff</t>
  </si>
  <si>
    <t>Difference</t>
  </si>
  <si>
    <t>Bal</t>
  </si>
  <si>
    <t xml:space="preserve"> Balance of previous month  </t>
  </si>
  <si>
    <t>TOT</t>
  </si>
  <si>
    <t xml:space="preserve"> -</t>
  </si>
  <si>
    <t xml:space="preserve">                        </t>
  </si>
  <si>
    <t>PG</t>
  </si>
  <si>
    <t>Altaf</t>
  </si>
  <si>
    <t>Bisleri</t>
  </si>
  <si>
    <t>Mar</t>
  </si>
  <si>
    <t>May</t>
  </si>
  <si>
    <t>June</t>
  </si>
  <si>
    <t>July</t>
  </si>
  <si>
    <t>Pd Oct 25</t>
  </si>
  <si>
    <t>dehivv</t>
  </si>
  <si>
    <t xml:space="preserve"> mom treatmeant         </t>
  </si>
  <si>
    <t xml:space="preserve">    kotak pg           </t>
  </si>
  <si>
    <t xml:space="preserve">snip salon                        </t>
  </si>
  <si>
    <t xml:space="preserve">bengali                            </t>
  </si>
  <si>
    <t xml:space="preserve"> mani mansion                </t>
  </si>
  <si>
    <t xml:space="preserve">Roshan Manzil (Tony)     </t>
  </si>
  <si>
    <t xml:space="preserve">Amri kids                   </t>
  </si>
  <si>
    <t>asif</t>
  </si>
  <si>
    <t xml:space="preserve">m aintanence                </t>
  </si>
  <si>
    <t xml:space="preserve">Mom                          </t>
  </si>
  <si>
    <t xml:space="preserve"> wedding gift                                       </t>
  </si>
  <si>
    <t xml:space="preserve">Misscellanous exp     </t>
  </si>
  <si>
    <t xml:space="preserve">Micellaneous Expenses                                                                                                   </t>
  </si>
  <si>
    <t xml:space="preserve">mararet                         </t>
  </si>
  <si>
    <t xml:space="preserve">65  godown    </t>
  </si>
  <si>
    <t>Paid till Dec 25</t>
  </si>
  <si>
    <t xml:space="preserve">shibhan [ mustak]          </t>
  </si>
  <si>
    <t>Jan</t>
  </si>
  <si>
    <t>Pd Dec 25</t>
  </si>
  <si>
    <t>oct nov ec 25</t>
  </si>
  <si>
    <t>pster room</t>
  </si>
  <si>
    <t>d fees</t>
  </si>
  <si>
    <t>meeincn</t>
  </si>
  <si>
    <t>goa ashing machine repayrs</t>
  </si>
  <si>
    <t>clare rd</t>
  </si>
  <si>
    <t>sana</t>
  </si>
  <si>
    <t>Paid Jan  26</t>
  </si>
  <si>
    <t>Paid till Nov 25</t>
  </si>
  <si>
    <t>Paid till Jan  26</t>
  </si>
  <si>
    <t>Paid Jan 26</t>
  </si>
  <si>
    <t>Paid till Jan 26</t>
  </si>
  <si>
    <t>Aug</t>
  </si>
  <si>
    <t xml:space="preserve">sep </t>
  </si>
  <si>
    <t xml:space="preserve">oct </t>
  </si>
  <si>
    <t>nov</t>
  </si>
  <si>
    <t>Bileri</t>
  </si>
  <si>
    <t>dedcution for rehan</t>
  </si>
  <si>
    <t xml:space="preserve"> Paid up to July 25 and 4 L on account in dec and 81050 afte all ajustment rent for PG paid till Nov 25</t>
  </si>
  <si>
    <t>Paid  up to Sep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</si>
</sst>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"/>
    <numFmt numFmtId="165" formatCode="_(* #,##0_);_(* \(#,##0\);_(* &quot;-&quot;??_);_(@_)"/>
  </numFmts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u/>
      <sz val="10"/>
      <color rgb="FF000000"/>
      <name val="Arial"/>
      <family val="2"/>
    </font>
    <font>
      <b/>
      <sz val="18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16" fontId="1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17" fontId="7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right" vertical="top" wrapText="1"/>
    </xf>
    <xf numFmtId="2" fontId="1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  <xf numFmtId="17" fontId="1" fillId="0" borderId="0" xfId="0" applyNumberFormat="1" applyFont="1" applyAlignment="1">
      <alignment horizontal="left"/>
    </xf>
    <xf numFmtId="16" fontId="1" fillId="0" borderId="0" xfId="0" applyNumberFormat="1" applyFont="1" applyAlignment="1">
      <alignment horizontal="left"/>
    </xf>
    <xf numFmtId="17" fontId="1" fillId="0" borderId="0" xfId="0" applyNumberFormat="1" applyFont="1" applyAlignment="1">
      <alignment horizontal="left" vertical="top" wrapText="1"/>
    </xf>
    <xf numFmtId="16" fontId="1" fillId="0" borderId="0" xfId="0" applyNumberFormat="1" applyFont="1" applyAlignment="1">
      <alignment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0" fontId="8" fillId="0" borderId="0" xfId="0" applyFont="1" applyAlignment="1">
      <alignment wrapText="1"/>
    </xf>
    <xf numFmtId="17" fontId="1" fillId="0" borderId="0" xfId="0" applyNumberFormat="1" applyFont="1" applyAlignment="1">
      <alignment vertical="top" wrapText="1"/>
    </xf>
    <xf numFmtId="0" fontId="7" fillId="0" borderId="0" xfId="0" applyFont="1" applyAlignment="1">
      <alignment wrapText="1"/>
    </xf>
    <xf numFmtId="14" fontId="1" fillId="0" borderId="0" xfId="0" applyNumberFormat="1" applyFont="1" applyAlignment="1">
      <alignment horizontal="left" vertical="top" wrapText="1"/>
    </xf>
    <xf numFmtId="3" fontId="1" fillId="0" borderId="0" xfId="0" applyNumberFormat="1" applyFont="1"/>
    <xf numFmtId="164" fontId="5" fillId="0" borderId="0" xfId="0" applyNumberFormat="1" applyFont="1"/>
    <xf numFmtId="0" fontId="10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3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 vertical="top" wrapText="1"/>
    </xf>
    <xf numFmtId="1" fontId="1" fillId="0" borderId="0" xfId="0" applyNumberFormat="1" applyFont="1" applyAlignment="1">
      <alignment horizontal="right" vertical="top" wrapText="1"/>
    </xf>
    <xf numFmtId="1" fontId="1" fillId="0" borderId="0" xfId="0" applyNumberFormat="1" applyFont="1" applyAlignment="1">
      <alignment horizontal="left" vertical="top" wrapText="1"/>
    </xf>
    <xf numFmtId="3" fontId="1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3" fontId="5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vertical="top" wrapText="1"/>
    </xf>
    <xf numFmtId="164" fontId="7" fillId="0" borderId="0" xfId="0" applyNumberFormat="1" applyFont="1"/>
    <xf numFmtId="165" fontId="5" fillId="0" borderId="0" xfId="0" applyNumberFormat="1" applyFont="1" applyAlignment="1">
      <alignment vertical="top" wrapText="1"/>
    </xf>
    <xf numFmtId="1" fontId="5" fillId="0" borderId="0" xfId="0" applyNumberFormat="1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vertical="top" wrapText="1"/>
    </xf>
    <xf numFmtId="1" fontId="1" fillId="0" borderId="0" xfId="0" applyNumberFormat="1" applyFont="1" applyAlignment="1">
      <alignment vertical="top" wrapText="1"/>
    </xf>
    <xf numFmtId="0" fontId="11" fillId="0" borderId="0" xfId="0" applyFont="1"/>
    <xf numFmtId="0" fontId="11" fillId="0" borderId="0" xfId="0" applyFont="1" applyAlignment="1">
      <alignment horizontal="left"/>
    </xf>
    <xf numFmtId="1" fontId="1" fillId="0" borderId="0" xfId="0" applyNumberFormat="1" applyFont="1" applyAlignment="1">
      <alignment horizontal="right"/>
    </xf>
    <xf numFmtId="16" fontId="12" fillId="0" borderId="0" xfId="0" applyNumberFormat="1" applyFont="1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readingOrder="1"/>
    </xf>
    <xf numFmtId="0" fontId="14" fillId="0" borderId="0" xfId="0" applyFont="1"/>
    <xf numFmtId="0" fontId="13" fillId="0" borderId="0" xfId="0" applyFont="1"/>
    <xf numFmtId="164" fontId="8" fillId="0" borderId="0" xfId="0" applyNumberFormat="1" applyFont="1" applyAlignment="1">
      <alignment horizontal="right" vertical="top" wrapText="1"/>
    </xf>
    <xf numFmtId="43" fontId="0" fillId="0" borderId="0" xfId="0" applyNumberFormat="1"/>
    <xf numFmtId="0" fontId="1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L4312"/>
  <sheetViews>
    <sheetView tabSelected="1" topLeftCell="A105" zoomScale="83" zoomScaleNormal="83" workbookViewId="0">
      <selection activeCell="E110" sqref="E110"/>
    </sheetView>
  </sheetViews>
  <sheetFormatPr defaultColWidth="12.54296875" defaultRowHeight="15" customHeight="1" x14ac:dyDescent="0.25"/>
  <cols>
    <col min="1" max="1" width="9.1796875" customWidth="1"/>
    <col min="2" max="2" width="0.453125" customWidth="1"/>
    <col min="3" max="3" width="32.1796875" customWidth="1"/>
    <col min="4" max="4" width="13" customWidth="1"/>
    <col min="5" max="5" width="45.26953125" customWidth="1"/>
    <col min="6" max="6" width="46.453125" customWidth="1"/>
    <col min="7" max="7" width="31.81640625" customWidth="1"/>
    <col min="8" max="8" width="21.7265625" customWidth="1"/>
    <col min="9" max="9" width="15.1796875" customWidth="1"/>
    <col min="10" max="559" width="8.453125" customWidth="1"/>
    <col min="560" max="2144" width="12.453125" customWidth="1"/>
  </cols>
  <sheetData>
    <row r="1" spans="1:62" ht="12.75" customHeight="1" x14ac:dyDescent="0.3">
      <c r="A1" s="1"/>
      <c r="B1" s="2"/>
      <c r="C1" s="2"/>
      <c r="D1" s="3"/>
      <c r="E1" s="2" t="s">
        <v>0</v>
      </c>
      <c r="F1" s="1">
        <v>2</v>
      </c>
      <c r="G1" s="4"/>
      <c r="BJ1" s="1" t="s">
        <v>1</v>
      </c>
    </row>
    <row r="2" spans="1:62" ht="33" customHeight="1" x14ac:dyDescent="0.25">
      <c r="A2" s="5"/>
      <c r="B2" s="6"/>
      <c r="C2" s="7" t="s">
        <v>2</v>
      </c>
      <c r="D2" s="7" t="s">
        <v>121</v>
      </c>
      <c r="E2" s="7">
        <v>2026</v>
      </c>
      <c r="F2" s="5" t="s">
        <v>0</v>
      </c>
      <c r="G2" s="4"/>
    </row>
    <row r="3" spans="1:62" ht="25.5" customHeight="1" x14ac:dyDescent="0.25">
      <c r="A3" s="5"/>
      <c r="B3" s="6"/>
      <c r="C3" s="8"/>
      <c r="D3" s="9" t="s">
        <v>0</v>
      </c>
      <c r="E3" s="10" t="s">
        <v>0</v>
      </c>
      <c r="F3" s="5"/>
      <c r="G3" s="4"/>
    </row>
    <row r="4" spans="1:62" ht="12.75" customHeight="1" x14ac:dyDescent="0.3">
      <c r="A4" s="11" t="s">
        <v>3</v>
      </c>
      <c r="B4" s="12"/>
      <c r="C4" s="13" t="s">
        <v>4</v>
      </c>
      <c r="E4" s="15" t="s">
        <v>0</v>
      </c>
      <c r="F4" s="11" t="s">
        <v>5</v>
      </c>
      <c r="G4" s="4"/>
      <c r="I4" s="62" t="s">
        <v>95</v>
      </c>
      <c r="J4" s="62" t="s">
        <v>96</v>
      </c>
      <c r="K4" s="62" t="s">
        <v>27</v>
      </c>
      <c r="L4" s="62" t="s">
        <v>139</v>
      </c>
    </row>
    <row r="5" spans="1:62" ht="66" customHeight="1" x14ac:dyDescent="0.25">
      <c r="A5" s="5">
        <v>1</v>
      </c>
      <c r="B5" s="6" t="s">
        <v>0</v>
      </c>
      <c r="C5" s="8" t="s">
        <v>105</v>
      </c>
      <c r="D5" s="14">
        <v>81050</v>
      </c>
      <c r="E5" s="8" t="s">
        <v>0</v>
      </c>
      <c r="F5" s="8" t="s">
        <v>141</v>
      </c>
      <c r="H5" s="8" t="s">
        <v>135</v>
      </c>
      <c r="I5">
        <v>60674</v>
      </c>
      <c r="J5">
        <v>22000</v>
      </c>
      <c r="K5">
        <v>10000</v>
      </c>
      <c r="L5">
        <v>20250</v>
      </c>
      <c r="M5">
        <f>SUM(I5:L5)</f>
        <v>112924</v>
      </c>
      <c r="N5">
        <v>103924</v>
      </c>
      <c r="O5">
        <f>M5-N5</f>
        <v>9000</v>
      </c>
    </row>
    <row r="6" spans="1:62" ht="33" customHeight="1" x14ac:dyDescent="0.25">
      <c r="A6" s="17"/>
      <c r="B6" s="6"/>
      <c r="C6" s="8" t="s">
        <v>97</v>
      </c>
      <c r="D6" s="1"/>
      <c r="E6" s="18" t="s">
        <v>0</v>
      </c>
      <c r="F6" s="5" t="s">
        <v>131</v>
      </c>
      <c r="G6" s="1"/>
      <c r="H6" s="4" t="s">
        <v>136</v>
      </c>
      <c r="I6">
        <v>92712</v>
      </c>
      <c r="J6">
        <v>22000</v>
      </c>
      <c r="K6">
        <v>10000</v>
      </c>
      <c r="L6">
        <v>20250</v>
      </c>
      <c r="M6">
        <f>SUM(I6:L6)</f>
        <v>144962</v>
      </c>
      <c r="N6">
        <v>144962</v>
      </c>
    </row>
    <row r="7" spans="1:62" ht="33" customHeight="1" x14ac:dyDescent="0.25">
      <c r="A7" s="17"/>
      <c r="B7" s="6" t="s">
        <v>8</v>
      </c>
      <c r="F7" s="19" t="s">
        <v>0</v>
      </c>
      <c r="G7" s="5"/>
      <c r="H7" s="4" t="s">
        <v>137</v>
      </c>
      <c r="I7">
        <v>77124</v>
      </c>
      <c r="J7">
        <v>22000</v>
      </c>
      <c r="K7">
        <v>10000</v>
      </c>
      <c r="L7">
        <v>20250</v>
      </c>
      <c r="M7">
        <f>SUM(I7:L7)</f>
        <v>129374</v>
      </c>
      <c r="N7">
        <v>129374</v>
      </c>
    </row>
    <row r="8" spans="1:62" ht="13.5" customHeight="1" x14ac:dyDescent="0.25">
      <c r="A8" s="17">
        <v>2</v>
      </c>
      <c r="B8" s="6">
        <v>656666</v>
      </c>
      <c r="C8" s="8" t="s">
        <v>118</v>
      </c>
      <c r="G8" s="4"/>
      <c r="H8" s="4" t="s">
        <v>138</v>
      </c>
      <c r="I8">
        <v>67825</v>
      </c>
      <c r="J8">
        <v>22000</v>
      </c>
      <c r="K8">
        <v>10000</v>
      </c>
      <c r="L8">
        <v>20250</v>
      </c>
      <c r="M8">
        <f>SUM(I8:L8)</f>
        <v>120075</v>
      </c>
      <c r="N8">
        <v>120075</v>
      </c>
    </row>
    <row r="9" spans="1:62" ht="13.5" customHeight="1" x14ac:dyDescent="0.25">
      <c r="A9" s="17"/>
      <c r="B9" s="6"/>
      <c r="C9" s="8" t="s">
        <v>103</v>
      </c>
      <c r="D9">
        <v>75000</v>
      </c>
      <c r="E9" s="20" t="s">
        <v>0</v>
      </c>
      <c r="F9" s="4" t="s">
        <v>132</v>
      </c>
      <c r="G9" s="4"/>
      <c r="H9" s="4"/>
      <c r="I9">
        <f>SUM(I5:I8)</f>
        <v>298335</v>
      </c>
      <c r="J9">
        <f t="shared" ref="J9:L9" si="0">SUM(J5:J8)</f>
        <v>88000</v>
      </c>
      <c r="K9">
        <f t="shared" si="0"/>
        <v>40000</v>
      </c>
      <c r="L9">
        <f t="shared" si="0"/>
        <v>81000</v>
      </c>
      <c r="N9">
        <f>SUM(N5:N8)</f>
        <v>498335</v>
      </c>
    </row>
    <row r="10" spans="1:62" ht="23.25" customHeight="1" x14ac:dyDescent="0.25">
      <c r="A10" s="5" t="s">
        <v>0</v>
      </c>
      <c r="B10" s="6" t="s">
        <v>9</v>
      </c>
      <c r="C10" s="8" t="s">
        <v>10</v>
      </c>
      <c r="D10" s="16" t="s">
        <v>0</v>
      </c>
      <c r="E10" s="5"/>
      <c r="F10" s="5" t="s">
        <v>7</v>
      </c>
      <c r="G10" s="4"/>
      <c r="H10" s="4" t="s">
        <v>140</v>
      </c>
      <c r="N10">
        <v>-17250</v>
      </c>
    </row>
    <row r="11" spans="1:62" ht="26.25" customHeight="1" x14ac:dyDescent="0.25">
      <c r="A11" s="5"/>
      <c r="B11" s="6" t="s">
        <v>11</v>
      </c>
      <c r="C11" s="21" t="s">
        <v>12</v>
      </c>
      <c r="D11" s="1"/>
      <c r="E11" s="2"/>
      <c r="F11" s="5" t="s">
        <v>13</v>
      </c>
      <c r="G11" s="4"/>
      <c r="H11" s="4"/>
      <c r="I11" s="4"/>
      <c r="J11" s="4">
        <f>400000</f>
        <v>400000</v>
      </c>
      <c r="K11" s="4">
        <f>J11-J9-K9-L9</f>
        <v>191000</v>
      </c>
      <c r="L11" s="4"/>
      <c r="N11">
        <f>N9+N10</f>
        <v>481085</v>
      </c>
    </row>
    <row r="12" spans="1:62" ht="12.75" customHeight="1" x14ac:dyDescent="0.25">
      <c r="A12" s="5"/>
      <c r="B12" s="6"/>
      <c r="C12" s="8"/>
      <c r="D12" s="5"/>
      <c r="E12" s="8"/>
      <c r="F12" s="5" t="s">
        <v>0</v>
      </c>
      <c r="G12" s="4"/>
    </row>
    <row r="13" spans="1:62" ht="12.75" customHeight="1" x14ac:dyDescent="0.25">
      <c r="A13" s="5">
        <v>3</v>
      </c>
      <c r="B13" s="6"/>
      <c r="C13" s="13" t="s">
        <v>14</v>
      </c>
      <c r="D13" s="19"/>
      <c r="F13" s="14" t="s">
        <v>0</v>
      </c>
      <c r="G13" s="5"/>
    </row>
    <row r="14" spans="1:62" ht="20.25" customHeight="1" x14ac:dyDescent="0.25">
      <c r="A14" s="5"/>
      <c r="B14" s="6" t="s">
        <v>15</v>
      </c>
      <c r="C14" s="8" t="s">
        <v>16</v>
      </c>
      <c r="E14" s="22"/>
      <c r="F14" s="5" t="s">
        <v>17</v>
      </c>
      <c r="G14" s="5"/>
    </row>
    <row r="15" spans="1:62" ht="28.5" customHeight="1" x14ac:dyDescent="0.25">
      <c r="A15" s="5"/>
      <c r="B15" s="6"/>
      <c r="C15" s="8" t="s">
        <v>18</v>
      </c>
      <c r="D15" s="5" t="s">
        <v>0</v>
      </c>
      <c r="E15" s="23"/>
      <c r="F15" s="57" t="s">
        <v>102</v>
      </c>
      <c r="G15" s="5"/>
    </row>
    <row r="16" spans="1:62" ht="15.75" customHeight="1" x14ac:dyDescent="0.25">
      <c r="A16" s="5" t="s">
        <v>0</v>
      </c>
      <c r="B16" s="6" t="s">
        <v>0</v>
      </c>
      <c r="C16" s="25" t="s">
        <v>0</v>
      </c>
      <c r="D16" s="26"/>
      <c r="E16" s="23"/>
      <c r="F16" s="5" t="s">
        <v>0</v>
      </c>
      <c r="G16" s="5"/>
    </row>
    <row r="17" spans="1:559" ht="12.75" customHeight="1" x14ac:dyDescent="0.25">
      <c r="A17" s="5">
        <v>4</v>
      </c>
      <c r="B17" s="6"/>
      <c r="C17" s="8" t="s">
        <v>19</v>
      </c>
      <c r="D17" s="5"/>
      <c r="E17" s="23"/>
      <c r="F17" s="5" t="s">
        <v>20</v>
      </c>
      <c r="G17" s="5"/>
    </row>
    <row r="18" spans="1:559" ht="12.75" customHeight="1" x14ac:dyDescent="0.25">
      <c r="A18" s="17">
        <v>5</v>
      </c>
      <c r="B18" s="6"/>
      <c r="C18" s="8" t="s">
        <v>21</v>
      </c>
      <c r="F18" s="5"/>
      <c r="G18" s="5"/>
    </row>
    <row r="19" spans="1:559" ht="22.5" customHeight="1" x14ac:dyDescent="0.25">
      <c r="A19" s="5"/>
      <c r="B19" s="6" t="s">
        <v>22</v>
      </c>
      <c r="C19" s="8" t="s">
        <v>106</v>
      </c>
      <c r="D19" s="27">
        <v>32000</v>
      </c>
      <c r="E19" s="2"/>
      <c r="F19" s="5" t="s">
        <v>130</v>
      </c>
      <c r="G19" s="4"/>
    </row>
    <row r="20" spans="1:559" ht="33.75" customHeight="1" x14ac:dyDescent="0.25">
      <c r="A20" s="5" t="s">
        <v>23</v>
      </c>
      <c r="B20" s="6" t="s">
        <v>24</v>
      </c>
      <c r="C20" s="8" t="s">
        <v>25</v>
      </c>
      <c r="D20" s="61">
        <v>35000</v>
      </c>
      <c r="E20" s="2" t="s">
        <v>0</v>
      </c>
      <c r="F20" s="24" t="s">
        <v>142</v>
      </c>
      <c r="G20" s="4"/>
      <c r="H20" s="1"/>
    </row>
    <row r="21" spans="1:559" ht="22.5" customHeight="1" x14ac:dyDescent="0.25">
      <c r="A21" s="5"/>
      <c r="B21" s="6" t="s">
        <v>26</v>
      </c>
      <c r="C21" s="8" t="s">
        <v>27</v>
      </c>
      <c r="D21" s="27"/>
      <c r="E21" s="23"/>
      <c r="F21" s="5" t="s">
        <v>131</v>
      </c>
      <c r="G21" s="28"/>
      <c r="H21" s="28"/>
    </row>
    <row r="22" spans="1:559" ht="15" customHeight="1" x14ac:dyDescent="0.25">
      <c r="A22" s="5" t="s">
        <v>0</v>
      </c>
      <c r="B22" s="6" t="s">
        <v>28</v>
      </c>
      <c r="C22" s="8" t="s">
        <v>29</v>
      </c>
      <c r="D22" s="5"/>
      <c r="E22" s="23"/>
      <c r="F22" s="5" t="s">
        <v>131</v>
      </c>
      <c r="G22" s="4"/>
      <c r="H22" s="28"/>
    </row>
    <row r="23" spans="1:559" ht="12.75" customHeight="1" x14ac:dyDescent="0.25">
      <c r="A23" s="17"/>
      <c r="B23" s="6"/>
      <c r="C23" s="8"/>
      <c r="D23" s="5"/>
      <c r="E23" s="29"/>
      <c r="F23" s="65"/>
      <c r="G23" s="4"/>
    </row>
    <row r="24" spans="1:559" ht="12.75" customHeight="1" x14ac:dyDescent="0.25">
      <c r="A24" s="17">
        <v>4</v>
      </c>
      <c r="B24" s="6"/>
      <c r="C24" s="8" t="s">
        <v>30</v>
      </c>
      <c r="D24" s="5"/>
      <c r="F24" s="66"/>
      <c r="G24" s="4"/>
    </row>
    <row r="25" spans="1:559" ht="25.5" customHeight="1" x14ac:dyDescent="0.25">
      <c r="A25" s="5"/>
      <c r="B25" s="6" t="s">
        <v>31</v>
      </c>
      <c r="C25" s="8" t="s">
        <v>107</v>
      </c>
      <c r="D25" s="5">
        <v>22000</v>
      </c>
      <c r="E25" s="24">
        <v>46351</v>
      </c>
      <c r="F25" s="60" t="s">
        <v>131</v>
      </c>
      <c r="G25" s="4"/>
    </row>
    <row r="26" spans="1:559" ht="12.75" customHeight="1" x14ac:dyDescent="0.25">
      <c r="A26" s="5"/>
      <c r="B26" s="6"/>
      <c r="C26" s="8"/>
      <c r="D26" s="5"/>
      <c r="E26" s="8"/>
      <c r="F26" s="5"/>
      <c r="G26" s="4"/>
    </row>
    <row r="27" spans="1:559" ht="12.75" customHeight="1" x14ac:dyDescent="0.25">
      <c r="A27" s="17">
        <v>5</v>
      </c>
      <c r="B27" s="6"/>
      <c r="C27" s="8" t="s">
        <v>108</v>
      </c>
      <c r="D27" t="s">
        <v>0</v>
      </c>
      <c r="E27" t="s">
        <v>0</v>
      </c>
      <c r="F27" s="5" t="s">
        <v>0</v>
      </c>
      <c r="G27" s="4"/>
    </row>
    <row r="28" spans="1:559" ht="24" customHeight="1" x14ac:dyDescent="0.25">
      <c r="A28" s="17"/>
      <c r="B28" s="6" t="s">
        <v>33</v>
      </c>
      <c r="C28" s="30" t="s">
        <v>34</v>
      </c>
      <c r="D28" s="16">
        <v>15000</v>
      </c>
      <c r="E28" s="21"/>
      <c r="F28" s="5" t="s">
        <v>133</v>
      </c>
      <c r="G28" s="4" t="s">
        <v>0</v>
      </c>
    </row>
    <row r="29" spans="1:559" ht="12.75" customHeight="1" x14ac:dyDescent="0.25">
      <c r="A29" s="17"/>
      <c r="B29" s="6"/>
      <c r="C29" s="8" t="s">
        <v>0</v>
      </c>
      <c r="D29" s="17"/>
      <c r="E29" s="8"/>
      <c r="F29" s="5" t="s">
        <v>0</v>
      </c>
      <c r="G29" s="4"/>
    </row>
    <row r="30" spans="1:559" ht="12.75" customHeight="1" x14ac:dyDescent="0.25">
      <c r="A30" s="5">
        <v>6</v>
      </c>
      <c r="B30" s="6"/>
      <c r="C30" s="8" t="s">
        <v>109</v>
      </c>
      <c r="E30" s="8" t="s">
        <v>0</v>
      </c>
      <c r="F30" s="5" t="s">
        <v>0</v>
      </c>
      <c r="G30" s="4"/>
    </row>
    <row r="31" spans="1:559" ht="18" customHeight="1" x14ac:dyDescent="0.25">
      <c r="A31" s="5" t="s">
        <v>35</v>
      </c>
      <c r="B31" s="6" t="s">
        <v>36</v>
      </c>
      <c r="C31" s="8" t="s">
        <v>37</v>
      </c>
      <c r="G31" s="4"/>
    </row>
    <row r="32" spans="1:559" ht="14.25" customHeight="1" x14ac:dyDescent="0.25">
      <c r="A32" s="5"/>
      <c r="B32" s="6"/>
      <c r="C32" s="8" t="s">
        <v>38</v>
      </c>
      <c r="D32">
        <v>10000</v>
      </c>
      <c r="E32" s="24"/>
      <c r="F32" s="5" t="s">
        <v>134</v>
      </c>
      <c r="G32" s="28" t="s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</row>
    <row r="33" spans="1:559" ht="14.25" customHeight="1" x14ac:dyDescent="0.25">
      <c r="A33" s="5"/>
      <c r="B33" s="6"/>
      <c r="C33" s="8" t="s">
        <v>0</v>
      </c>
      <c r="F33" s="5"/>
      <c r="G33" s="2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</row>
    <row r="34" spans="1:559" ht="12.75" customHeight="1" x14ac:dyDescent="0.25">
      <c r="A34" s="5">
        <v>7</v>
      </c>
      <c r="B34" s="6"/>
      <c r="C34" s="8" t="s">
        <v>39</v>
      </c>
      <c r="D34" s="19"/>
      <c r="E34" s="13"/>
      <c r="F34" s="16" t="s">
        <v>0</v>
      </c>
      <c r="G34" s="4"/>
    </row>
    <row r="35" spans="1:559" ht="52.5" customHeight="1" x14ac:dyDescent="0.25">
      <c r="A35" s="5"/>
      <c r="B35" s="6" t="s">
        <v>40</v>
      </c>
      <c r="C35" s="31" t="s">
        <v>110</v>
      </c>
      <c r="D35" s="1">
        <v>40000</v>
      </c>
      <c r="E35" s="23"/>
      <c r="F35" s="5" t="s">
        <v>41</v>
      </c>
      <c r="G35" s="28" t="s">
        <v>0</v>
      </c>
    </row>
    <row r="36" spans="1:559" ht="18" customHeight="1" x14ac:dyDescent="0.25">
      <c r="A36" s="5"/>
      <c r="B36" s="6" t="s">
        <v>42</v>
      </c>
      <c r="C36" s="8" t="s">
        <v>43</v>
      </c>
      <c r="D36" s="17">
        <v>150000</v>
      </c>
      <c r="E36" s="8" t="s">
        <v>123</v>
      </c>
      <c r="F36" s="4" t="s">
        <v>119</v>
      </c>
      <c r="G36" s="28" t="s">
        <v>0</v>
      </c>
    </row>
    <row r="37" spans="1:559" ht="18" customHeight="1" x14ac:dyDescent="0.25">
      <c r="A37" s="5">
        <v>8</v>
      </c>
      <c r="B37" s="6"/>
      <c r="C37" s="8" t="s">
        <v>44</v>
      </c>
      <c r="E37" s="8"/>
      <c r="F37" s="4"/>
      <c r="G37" s="4"/>
    </row>
    <row r="38" spans="1:559" ht="12.75" customHeight="1" x14ac:dyDescent="0.25">
      <c r="A38" s="5"/>
      <c r="B38" s="6"/>
      <c r="C38" s="8">
        <v>2108</v>
      </c>
      <c r="D38" s="14">
        <v>12000</v>
      </c>
      <c r="E38" s="10"/>
      <c r="F38" s="5" t="s">
        <v>122</v>
      </c>
      <c r="G38" s="4" t="s">
        <v>0</v>
      </c>
    </row>
    <row r="39" spans="1:559" ht="12.75" customHeight="1" x14ac:dyDescent="0.25">
      <c r="A39" s="5"/>
      <c r="B39" s="6"/>
      <c r="C39" s="2">
        <v>2109</v>
      </c>
      <c r="D39" s="32">
        <v>12000</v>
      </c>
      <c r="F39" s="5" t="s">
        <v>122</v>
      </c>
      <c r="G39" s="5" t="s">
        <v>0</v>
      </c>
      <c r="H39" s="4"/>
    </row>
    <row r="40" spans="1:559" ht="31.5" customHeight="1" x14ac:dyDescent="0.25">
      <c r="A40" s="5"/>
      <c r="B40" s="6"/>
      <c r="C40" s="59" t="s">
        <v>120</v>
      </c>
      <c r="D40" t="s">
        <v>0</v>
      </c>
      <c r="E40" s="5" t="s">
        <v>0</v>
      </c>
      <c r="F40" s="5"/>
      <c r="G40" s="4"/>
    </row>
    <row r="41" spans="1:559" ht="31.5" customHeight="1" x14ac:dyDescent="0.25">
      <c r="A41" s="5"/>
      <c r="B41" s="6"/>
      <c r="C41" s="59" t="s">
        <v>111</v>
      </c>
      <c r="D41">
        <v>22000</v>
      </c>
      <c r="E41" s="5"/>
      <c r="F41" s="5"/>
      <c r="G41" s="4"/>
    </row>
    <row r="42" spans="1:559" ht="26.25" customHeight="1" x14ac:dyDescent="0.3">
      <c r="A42" s="17" t="s">
        <v>0</v>
      </c>
      <c r="B42" s="6"/>
      <c r="C42" s="13" t="s">
        <v>45</v>
      </c>
      <c r="D42" s="33">
        <f>SUM(D5:D41)</f>
        <v>506050</v>
      </c>
      <c r="E42" s="1" t="s">
        <v>0</v>
      </c>
      <c r="F42" s="5"/>
      <c r="G42" s="4"/>
    </row>
    <row r="43" spans="1:559" ht="12.75" customHeight="1" x14ac:dyDescent="0.25">
      <c r="A43" s="17"/>
      <c r="B43" s="6"/>
      <c r="C43" s="13"/>
      <c r="D43" s="1" t="s">
        <v>46</v>
      </c>
      <c r="E43" s="13"/>
      <c r="F43" s="5"/>
      <c r="G43" s="4"/>
    </row>
    <row r="44" spans="1:559" ht="20.25" customHeight="1" x14ac:dyDescent="0.25">
      <c r="A44" s="5"/>
      <c r="B44" s="6"/>
      <c r="C44" s="34" t="s">
        <v>47</v>
      </c>
      <c r="D44" s="35" t="s">
        <v>0</v>
      </c>
      <c r="E44" s="8"/>
      <c r="F44" s="5"/>
      <c r="G44" s="4"/>
    </row>
    <row r="45" spans="1:559" ht="12.75" customHeight="1" x14ac:dyDescent="0.25">
      <c r="A45" s="5"/>
      <c r="B45" s="6"/>
      <c r="C45" s="8"/>
      <c r="D45" s="5"/>
      <c r="E45" s="8"/>
      <c r="F45" s="5"/>
      <c r="G45" s="4"/>
    </row>
    <row r="46" spans="1:559" ht="12.75" customHeight="1" x14ac:dyDescent="0.25">
      <c r="A46" s="17" t="s">
        <v>3</v>
      </c>
      <c r="B46" s="6"/>
      <c r="C46" s="58" t="s">
        <v>48</v>
      </c>
      <c r="E46" s="2"/>
      <c r="F46" s="17"/>
      <c r="G46" s="4"/>
    </row>
    <row r="47" spans="1:559" ht="12.75" customHeight="1" x14ac:dyDescent="0.25">
      <c r="A47" s="5">
        <v>1</v>
      </c>
      <c r="B47" s="6" t="s">
        <v>0</v>
      </c>
      <c r="C47" s="8" t="s">
        <v>6</v>
      </c>
      <c r="D47" s="17"/>
      <c r="E47" s="8"/>
      <c r="F47" s="17"/>
      <c r="G47" s="4"/>
    </row>
    <row r="48" spans="1:559" ht="14.25" customHeight="1" x14ac:dyDescent="0.25">
      <c r="A48" s="5"/>
      <c r="B48" s="6" t="s">
        <v>49</v>
      </c>
      <c r="C48" s="8" t="s">
        <v>50</v>
      </c>
      <c r="D48" s="17"/>
      <c r="E48" s="8"/>
      <c r="F48" s="5"/>
      <c r="G48" s="4"/>
    </row>
    <row r="49" spans="1:7" ht="12.75" customHeight="1" x14ac:dyDescent="0.25">
      <c r="A49" s="5" t="s">
        <v>51</v>
      </c>
      <c r="B49" s="6" t="s">
        <v>52</v>
      </c>
      <c r="C49" s="8"/>
      <c r="D49" s="5"/>
      <c r="E49" s="8"/>
      <c r="F49" s="17"/>
      <c r="G49" s="4"/>
    </row>
    <row r="50" spans="1:7" ht="12.75" customHeight="1" x14ac:dyDescent="0.25">
      <c r="A50" s="5"/>
      <c r="B50" s="6" t="s">
        <v>53</v>
      </c>
      <c r="C50" s="8" t="s">
        <v>54</v>
      </c>
      <c r="D50" s="36"/>
      <c r="E50" s="8"/>
      <c r="F50" s="5"/>
      <c r="G50" s="4"/>
    </row>
    <row r="51" spans="1:7" ht="12.75" customHeight="1" x14ac:dyDescent="0.25">
      <c r="A51" s="5"/>
      <c r="B51" s="6"/>
      <c r="C51" s="8"/>
      <c r="D51" s="36"/>
      <c r="E51" s="8"/>
      <c r="F51" s="5"/>
      <c r="G51" s="4"/>
    </row>
    <row r="52" spans="1:7" ht="12.75" customHeight="1" x14ac:dyDescent="0.25">
      <c r="A52" s="5"/>
      <c r="B52" s="6"/>
      <c r="C52" s="8"/>
      <c r="D52" s="5"/>
      <c r="E52" s="23"/>
      <c r="F52" s="5"/>
      <c r="G52" s="4"/>
    </row>
    <row r="53" spans="1:7" ht="12.75" customHeight="1" x14ac:dyDescent="0.25">
      <c r="A53" s="5"/>
      <c r="B53" s="6"/>
      <c r="C53" s="8"/>
      <c r="D53" s="5"/>
      <c r="E53" s="8"/>
      <c r="F53" s="5"/>
      <c r="G53" s="4"/>
    </row>
    <row r="54" spans="1:7" ht="12.75" customHeight="1" x14ac:dyDescent="0.25">
      <c r="A54" s="17">
        <v>2</v>
      </c>
      <c r="B54" s="6"/>
      <c r="C54" s="8" t="s">
        <v>55</v>
      </c>
      <c r="D54" s="5"/>
      <c r="E54" s="8"/>
      <c r="F54" s="5"/>
      <c r="G54" s="4"/>
    </row>
    <row r="55" spans="1:7" ht="12.75" customHeight="1" x14ac:dyDescent="0.25">
      <c r="A55" s="5"/>
      <c r="B55" s="6" t="s">
        <v>56</v>
      </c>
      <c r="C55" s="8" t="s">
        <v>112</v>
      </c>
      <c r="D55" s="5" t="s">
        <v>0</v>
      </c>
      <c r="E55" s="8" t="s">
        <v>0</v>
      </c>
      <c r="F55" s="5"/>
      <c r="G55" s="4"/>
    </row>
    <row r="56" spans="1:7" ht="12.75" customHeight="1" x14ac:dyDescent="0.25">
      <c r="A56" s="5"/>
      <c r="B56" s="6" t="s">
        <v>57</v>
      </c>
      <c r="C56" s="8" t="s">
        <v>58</v>
      </c>
      <c r="D56" s="37"/>
      <c r="E56" s="2"/>
      <c r="F56" s="5" t="s">
        <v>0</v>
      </c>
      <c r="G56" s="4"/>
    </row>
    <row r="57" spans="1:7" ht="12.75" customHeight="1" x14ac:dyDescent="0.25">
      <c r="A57" s="5"/>
      <c r="B57" s="6" t="s">
        <v>59</v>
      </c>
      <c r="C57" s="8" t="s">
        <v>54</v>
      </c>
      <c r="D57" s="38"/>
      <c r="E57" s="8"/>
      <c r="F57" s="5"/>
      <c r="G57" s="4"/>
    </row>
    <row r="58" spans="1:7" ht="12.75" customHeight="1" x14ac:dyDescent="0.25">
      <c r="A58" s="5"/>
      <c r="B58" s="6"/>
      <c r="C58" s="8"/>
      <c r="D58" s="5"/>
      <c r="E58" s="8"/>
      <c r="F58" s="5"/>
      <c r="G58" s="4"/>
    </row>
    <row r="59" spans="1:7" ht="12.75" customHeight="1" x14ac:dyDescent="0.25">
      <c r="A59" s="5"/>
      <c r="B59" s="6"/>
      <c r="C59" s="8"/>
      <c r="D59" s="5"/>
      <c r="E59" s="8"/>
      <c r="F59" s="5"/>
      <c r="G59" s="4"/>
    </row>
    <row r="60" spans="1:7" ht="12.75" customHeight="1" x14ac:dyDescent="0.25">
      <c r="A60" s="17">
        <v>3</v>
      </c>
      <c r="B60" s="6"/>
      <c r="C60" s="8" t="s">
        <v>60</v>
      </c>
      <c r="D60" s="39"/>
      <c r="E60" s="8"/>
      <c r="F60" s="17" t="s">
        <v>61</v>
      </c>
      <c r="G60" s="4"/>
    </row>
    <row r="61" spans="1:7" ht="15" customHeight="1" x14ac:dyDescent="0.25">
      <c r="A61" s="5"/>
      <c r="B61" s="6" t="s">
        <v>22</v>
      </c>
      <c r="C61" s="8" t="s">
        <v>50</v>
      </c>
      <c r="D61" s="5"/>
      <c r="E61" s="8"/>
      <c r="F61" s="5"/>
      <c r="G61" s="4"/>
    </row>
    <row r="62" spans="1:7" ht="15" customHeight="1" x14ac:dyDescent="0.25">
      <c r="A62" s="5"/>
      <c r="B62" s="6" t="s">
        <v>24</v>
      </c>
      <c r="C62" s="8" t="s">
        <v>58</v>
      </c>
      <c r="D62" s="17"/>
      <c r="E62" s="8"/>
      <c r="F62" s="5"/>
      <c r="G62" s="4"/>
    </row>
    <row r="63" spans="1:7" ht="15" customHeight="1" x14ac:dyDescent="0.25">
      <c r="A63" s="5"/>
      <c r="B63" s="6" t="s">
        <v>62</v>
      </c>
      <c r="C63" s="8" t="s">
        <v>54</v>
      </c>
      <c r="D63" s="5"/>
      <c r="E63" s="8"/>
      <c r="F63" s="5"/>
      <c r="G63" s="4"/>
    </row>
    <row r="64" spans="1:7" ht="15" customHeight="1" x14ac:dyDescent="0.25">
      <c r="A64" s="5"/>
      <c r="B64" s="6"/>
      <c r="C64" s="8"/>
      <c r="D64" s="5"/>
      <c r="E64" s="8"/>
      <c r="F64" s="5"/>
      <c r="G64" s="4"/>
    </row>
    <row r="65" spans="1:7" ht="15" customHeight="1" x14ac:dyDescent="0.25">
      <c r="A65" s="5"/>
      <c r="B65" s="6"/>
      <c r="C65" s="8"/>
      <c r="D65" s="5"/>
      <c r="E65" s="8"/>
      <c r="F65" s="5"/>
      <c r="G65" s="4"/>
    </row>
    <row r="66" spans="1:7" ht="15" customHeight="1" x14ac:dyDescent="0.25">
      <c r="A66" s="17">
        <v>4</v>
      </c>
      <c r="B66" s="6"/>
      <c r="C66" s="8" t="s">
        <v>30</v>
      </c>
      <c r="D66" s="5"/>
      <c r="E66" s="8"/>
      <c r="F66" s="5"/>
      <c r="G66" s="4"/>
    </row>
    <row r="67" spans="1:7" ht="15" customHeight="1" x14ac:dyDescent="0.25">
      <c r="A67" s="5"/>
      <c r="B67" s="6" t="s">
        <v>63</v>
      </c>
      <c r="C67" s="8" t="s">
        <v>50</v>
      </c>
      <c r="D67" s="5"/>
      <c r="E67" s="8"/>
      <c r="F67" s="5"/>
      <c r="G67" s="4"/>
    </row>
    <row r="68" spans="1:7" ht="15" customHeight="1" x14ac:dyDescent="0.25">
      <c r="A68" s="5"/>
      <c r="B68" s="6" t="s">
        <v>64</v>
      </c>
      <c r="C68" s="8" t="s">
        <v>58</v>
      </c>
      <c r="D68" s="5"/>
      <c r="E68" s="8"/>
      <c r="F68" s="5"/>
      <c r="G68" s="4"/>
    </row>
    <row r="69" spans="1:7" ht="15" customHeight="1" x14ac:dyDescent="0.25">
      <c r="A69" s="5"/>
      <c r="B69" s="6" t="s">
        <v>65</v>
      </c>
      <c r="C69" s="8" t="s">
        <v>54</v>
      </c>
      <c r="D69" s="5"/>
      <c r="E69" s="8"/>
      <c r="F69" s="5"/>
      <c r="G69" s="4"/>
    </row>
    <row r="70" spans="1:7" ht="15" customHeight="1" x14ac:dyDescent="0.25">
      <c r="A70" s="5"/>
      <c r="B70" s="6"/>
      <c r="C70" s="8"/>
      <c r="D70" s="5"/>
      <c r="E70" s="8"/>
      <c r="F70" s="5"/>
      <c r="G70" s="4"/>
    </row>
    <row r="71" spans="1:7" ht="15" customHeight="1" x14ac:dyDescent="0.25">
      <c r="A71" s="5"/>
      <c r="B71" s="6"/>
      <c r="C71" s="8"/>
      <c r="D71" s="5"/>
      <c r="E71" s="8"/>
      <c r="F71" s="5"/>
      <c r="G71" s="5"/>
    </row>
    <row r="72" spans="1:7" ht="15" customHeight="1" x14ac:dyDescent="0.25">
      <c r="A72" s="17">
        <v>5</v>
      </c>
      <c r="B72" s="6"/>
      <c r="C72" s="8" t="s">
        <v>32</v>
      </c>
      <c r="D72" s="5"/>
      <c r="E72" s="8"/>
      <c r="F72" s="5"/>
      <c r="G72" s="5"/>
    </row>
    <row r="73" spans="1:7" ht="15" customHeight="1" x14ac:dyDescent="0.25">
      <c r="A73" s="5"/>
      <c r="B73" s="6" t="s">
        <v>66</v>
      </c>
      <c r="C73" s="8" t="s">
        <v>50</v>
      </c>
      <c r="D73" s="5"/>
      <c r="E73" s="8"/>
      <c r="F73" s="5"/>
      <c r="G73" s="5"/>
    </row>
    <row r="74" spans="1:7" ht="15" customHeight="1" x14ac:dyDescent="0.25">
      <c r="A74" s="5"/>
      <c r="B74" s="6" t="s">
        <v>67</v>
      </c>
      <c r="C74" s="8" t="s">
        <v>58</v>
      </c>
      <c r="D74" s="5"/>
      <c r="E74" s="8"/>
      <c r="F74" s="5"/>
      <c r="G74" s="5"/>
    </row>
    <row r="75" spans="1:7" ht="17.25" customHeight="1" x14ac:dyDescent="0.25">
      <c r="A75" s="5"/>
      <c r="B75" s="6" t="s">
        <v>68</v>
      </c>
      <c r="C75" s="8" t="s">
        <v>54</v>
      </c>
      <c r="D75" s="5"/>
      <c r="E75" s="8"/>
      <c r="F75" s="5"/>
      <c r="G75" s="5"/>
    </row>
    <row r="76" spans="1:7" ht="17.25" customHeight="1" x14ac:dyDescent="0.25">
      <c r="A76" s="5"/>
      <c r="B76" s="6"/>
      <c r="C76" s="8"/>
      <c r="D76" s="5"/>
      <c r="E76" s="8"/>
      <c r="F76" s="5"/>
      <c r="G76" s="5"/>
    </row>
    <row r="77" spans="1:7" ht="17.25" customHeight="1" x14ac:dyDescent="0.25">
      <c r="A77" s="17">
        <v>6</v>
      </c>
      <c r="B77" s="6"/>
      <c r="C77" s="8" t="s">
        <v>69</v>
      </c>
      <c r="D77" s="5"/>
      <c r="E77" s="8"/>
      <c r="F77" s="5"/>
      <c r="G77" s="5"/>
    </row>
    <row r="78" spans="1:7" ht="12.75" customHeight="1" x14ac:dyDescent="0.25">
      <c r="A78" s="5"/>
      <c r="B78" s="6" t="s">
        <v>56</v>
      </c>
      <c r="C78" s="8" t="s">
        <v>50</v>
      </c>
      <c r="D78" s="5"/>
      <c r="E78" s="8"/>
      <c r="F78" s="5"/>
      <c r="G78" s="5"/>
    </row>
    <row r="79" spans="1:7" ht="17.25" customHeight="1" x14ac:dyDescent="0.25">
      <c r="A79" s="5"/>
      <c r="B79" s="6" t="s">
        <v>57</v>
      </c>
      <c r="C79" s="8" t="s">
        <v>58</v>
      </c>
      <c r="D79" s="5"/>
      <c r="E79" s="8"/>
      <c r="F79" s="5"/>
      <c r="G79" s="5"/>
    </row>
    <row r="80" spans="1:7" ht="17.25" customHeight="1" x14ac:dyDescent="0.25">
      <c r="A80" s="5"/>
      <c r="B80" s="6" t="s">
        <v>59</v>
      </c>
      <c r="C80" s="8" t="s">
        <v>54</v>
      </c>
      <c r="D80" s="5"/>
      <c r="E80" s="8"/>
      <c r="F80" s="5"/>
      <c r="G80" s="5"/>
    </row>
    <row r="81" spans="1:9" ht="17.25" customHeight="1" x14ac:dyDescent="0.25">
      <c r="A81" s="5"/>
      <c r="B81" s="6"/>
      <c r="C81" s="8"/>
      <c r="D81" s="5"/>
      <c r="E81" s="8"/>
      <c r="F81" s="5"/>
      <c r="G81" s="5"/>
    </row>
    <row r="82" spans="1:9" ht="17.25" customHeight="1" x14ac:dyDescent="0.25">
      <c r="A82" s="5">
        <v>7</v>
      </c>
      <c r="B82" s="6"/>
      <c r="C82" s="8" t="s">
        <v>70</v>
      </c>
      <c r="D82" s="5"/>
      <c r="E82" s="8"/>
      <c r="F82" s="5"/>
      <c r="G82" s="5"/>
    </row>
    <row r="83" spans="1:9" ht="17.25" customHeight="1" x14ac:dyDescent="0.25">
      <c r="A83" s="17"/>
      <c r="B83" s="6" t="s">
        <v>71</v>
      </c>
      <c r="C83" s="8" t="s">
        <v>50</v>
      </c>
      <c r="D83" s="5"/>
      <c r="E83" s="8"/>
      <c r="F83" s="5"/>
      <c r="G83" s="5"/>
      <c r="I83" s="1" t="s">
        <v>0</v>
      </c>
    </row>
    <row r="84" spans="1:9" ht="17.25" customHeight="1" x14ac:dyDescent="0.25">
      <c r="A84" s="17"/>
      <c r="B84" s="6" t="s">
        <v>72</v>
      </c>
      <c r="C84" s="8" t="s">
        <v>58</v>
      </c>
      <c r="D84" s="5"/>
      <c r="E84" s="8"/>
      <c r="F84" s="5"/>
      <c r="G84" s="5"/>
    </row>
    <row r="85" spans="1:9" ht="17.25" customHeight="1" x14ac:dyDescent="0.25">
      <c r="A85" s="17"/>
      <c r="B85" s="6" t="s">
        <v>73</v>
      </c>
      <c r="C85" s="8" t="s">
        <v>54</v>
      </c>
      <c r="D85" s="5"/>
      <c r="E85" s="8"/>
      <c r="F85" s="5"/>
      <c r="G85" s="5"/>
    </row>
    <row r="86" spans="1:9" ht="17.25" customHeight="1" x14ac:dyDescent="0.25">
      <c r="A86" s="17"/>
      <c r="B86" s="6"/>
      <c r="C86" s="8"/>
      <c r="D86" s="5"/>
      <c r="E86" s="8"/>
      <c r="F86" s="5"/>
      <c r="G86" s="5"/>
    </row>
    <row r="87" spans="1:9" ht="17.25" customHeight="1" x14ac:dyDescent="0.25">
      <c r="A87" s="5">
        <v>9</v>
      </c>
      <c r="B87" s="6"/>
      <c r="C87" s="8" t="s">
        <v>74</v>
      </c>
      <c r="D87" s="5"/>
      <c r="E87" s="8"/>
      <c r="F87" s="5"/>
      <c r="G87" s="5"/>
    </row>
    <row r="88" spans="1:9" ht="17.25" customHeight="1" x14ac:dyDescent="0.25">
      <c r="A88" s="5"/>
      <c r="B88" s="6" t="s">
        <v>75</v>
      </c>
      <c r="C88" s="8" t="s">
        <v>50</v>
      </c>
      <c r="D88" s="5"/>
      <c r="E88" s="8"/>
      <c r="F88" s="5"/>
      <c r="G88" s="5"/>
    </row>
    <row r="89" spans="1:9" ht="17.25" customHeight="1" x14ac:dyDescent="0.25">
      <c r="A89" s="5"/>
      <c r="B89" s="6" t="s">
        <v>76</v>
      </c>
      <c r="C89" s="8" t="s">
        <v>58</v>
      </c>
      <c r="D89" s="40"/>
      <c r="E89" s="8"/>
      <c r="F89" s="5"/>
      <c r="G89" s="5"/>
    </row>
    <row r="90" spans="1:9" ht="17.25" customHeight="1" x14ac:dyDescent="0.25">
      <c r="A90" s="5"/>
      <c r="B90" s="6" t="s">
        <v>77</v>
      </c>
      <c r="C90" s="8" t="s">
        <v>54</v>
      </c>
      <c r="D90" s="5"/>
      <c r="E90" s="8"/>
      <c r="F90" s="5"/>
      <c r="G90" s="5"/>
    </row>
    <row r="91" spans="1:9" ht="17.25" customHeight="1" x14ac:dyDescent="0.25">
      <c r="A91" s="17"/>
      <c r="B91" s="6"/>
      <c r="C91" s="8"/>
      <c r="D91" s="5"/>
      <c r="E91" s="8"/>
      <c r="F91" s="5"/>
      <c r="G91" s="5"/>
    </row>
    <row r="92" spans="1:9" ht="17.25" customHeight="1" x14ac:dyDescent="0.25">
      <c r="A92" s="17">
        <v>10</v>
      </c>
      <c r="B92" s="6"/>
      <c r="C92" s="8" t="s">
        <v>78</v>
      </c>
      <c r="D92" s="5">
        <v>3500</v>
      </c>
      <c r="E92" s="8" t="s">
        <v>124</v>
      </c>
      <c r="F92" s="5"/>
      <c r="G92" s="5"/>
    </row>
    <row r="93" spans="1:9" ht="17.25" customHeight="1" x14ac:dyDescent="0.25">
      <c r="A93" s="17"/>
      <c r="B93" s="6"/>
      <c r="C93" s="8"/>
      <c r="D93" s="5"/>
      <c r="E93" s="8"/>
      <c r="F93" s="5"/>
      <c r="G93" s="5"/>
    </row>
    <row r="94" spans="1:9" ht="17.25" customHeight="1" x14ac:dyDescent="0.25">
      <c r="A94" s="17">
        <v>9</v>
      </c>
      <c r="B94" s="6"/>
      <c r="C94" s="8" t="s">
        <v>54</v>
      </c>
      <c r="D94" s="5"/>
      <c r="E94" s="8"/>
      <c r="F94" s="5"/>
      <c r="G94" s="5"/>
      <c r="H94" s="5"/>
    </row>
    <row r="95" spans="1:9" ht="17.25" customHeight="1" x14ac:dyDescent="0.25">
      <c r="A95" s="5"/>
      <c r="B95" s="6" t="s">
        <v>79</v>
      </c>
      <c r="C95" s="8" t="s">
        <v>113</v>
      </c>
      <c r="D95" s="17">
        <v>2500</v>
      </c>
      <c r="E95" s="5" t="s">
        <v>125</v>
      </c>
      <c r="F95" s="5"/>
      <c r="G95" s="5"/>
      <c r="H95" s="5"/>
    </row>
    <row r="96" spans="1:9" ht="17.25" customHeight="1" x14ac:dyDescent="0.25">
      <c r="A96" s="5"/>
      <c r="B96" s="6"/>
      <c r="C96" s="8" t="s">
        <v>104</v>
      </c>
      <c r="D96" s="17">
        <v>2270</v>
      </c>
      <c r="E96" s="5" t="s">
        <v>126</v>
      </c>
      <c r="G96" s="5"/>
      <c r="H96" s="5"/>
    </row>
    <row r="97" spans="1:559" ht="37.5" customHeight="1" x14ac:dyDescent="0.25">
      <c r="A97" s="5"/>
      <c r="B97" s="6" t="s">
        <v>80</v>
      </c>
      <c r="C97" s="8" t="s">
        <v>114</v>
      </c>
      <c r="D97" s="17"/>
      <c r="E97" s="5"/>
      <c r="G97" s="5"/>
      <c r="H97" s="5"/>
    </row>
    <row r="98" spans="1:559" ht="17.25" customHeight="1" x14ac:dyDescent="0.25">
      <c r="A98" s="5"/>
      <c r="B98" s="6" t="s">
        <v>81</v>
      </c>
      <c r="C98" s="8" t="s">
        <v>115</v>
      </c>
      <c r="D98" s="17">
        <v>4800</v>
      </c>
      <c r="E98" s="8" t="s">
        <v>127</v>
      </c>
      <c r="F98" s="5"/>
      <c r="G98" s="5"/>
      <c r="H98" s="5"/>
    </row>
    <row r="99" spans="1:559" ht="17.25" customHeight="1" x14ac:dyDescent="0.25">
      <c r="A99" s="5"/>
      <c r="B99" s="6" t="s">
        <v>82</v>
      </c>
      <c r="C99" s="8" t="s">
        <v>117</v>
      </c>
      <c r="D99" s="17">
        <v>600</v>
      </c>
      <c r="E99" s="5" t="s">
        <v>129</v>
      </c>
      <c r="F99" s="5"/>
      <c r="G99" s="5"/>
      <c r="H99" s="5"/>
    </row>
    <row r="100" spans="1:559" ht="31" customHeight="1" x14ac:dyDescent="0.25">
      <c r="A100" s="5"/>
      <c r="B100" s="6">
        <v>350</v>
      </c>
      <c r="C100" s="8" t="s">
        <v>116</v>
      </c>
      <c r="D100" s="40"/>
      <c r="E100" s="8">
        <v>500</v>
      </c>
      <c r="F100" s="5" t="s">
        <v>128</v>
      </c>
      <c r="G100" s="5"/>
      <c r="H100" s="5"/>
    </row>
    <row r="101" spans="1:559" ht="12.75" customHeight="1" x14ac:dyDescent="0.25">
      <c r="A101" s="5"/>
      <c r="B101" s="6"/>
      <c r="C101" s="8" t="s">
        <v>83</v>
      </c>
      <c r="D101" s="17"/>
      <c r="E101" s="8"/>
      <c r="F101" s="5"/>
      <c r="G101" s="5"/>
      <c r="H101" s="5"/>
    </row>
    <row r="102" spans="1:559" ht="26.25" customHeight="1" x14ac:dyDescent="0.25">
      <c r="A102" s="5"/>
      <c r="B102" s="6"/>
      <c r="C102" s="8" t="s">
        <v>84</v>
      </c>
      <c r="D102" s="17"/>
      <c r="E102" s="8"/>
      <c r="F102" s="5"/>
      <c r="G102" s="5"/>
      <c r="H102" s="5"/>
    </row>
    <row r="103" spans="1:559" ht="17.25" customHeight="1" x14ac:dyDescent="0.25">
      <c r="B103" s="2">
        <v>10</v>
      </c>
      <c r="C103" s="6" t="s">
        <v>85</v>
      </c>
      <c r="D103" s="17"/>
      <c r="E103" s="8"/>
      <c r="F103" s="5"/>
      <c r="G103" s="5"/>
    </row>
    <row r="104" spans="1:559" ht="17.25" customHeight="1" x14ac:dyDescent="0.25">
      <c r="A104" s="5"/>
      <c r="B104" s="6"/>
      <c r="C104" s="8" t="s">
        <v>86</v>
      </c>
      <c r="D104" s="17"/>
      <c r="E104" s="8"/>
      <c r="G104" s="5"/>
    </row>
    <row r="105" spans="1:559" ht="17.25" customHeight="1" x14ac:dyDescent="0.25">
      <c r="A105" s="5"/>
      <c r="B105" s="6" t="s">
        <v>87</v>
      </c>
      <c r="C105" s="13" t="s">
        <v>45</v>
      </c>
      <c r="D105" s="27">
        <f>SUM(D46:D104)</f>
        <v>13670</v>
      </c>
      <c r="E105" s="41"/>
      <c r="F105" s="5"/>
      <c r="G105" s="5"/>
    </row>
    <row r="106" spans="1:559" ht="17.25" customHeight="1" x14ac:dyDescent="0.25">
      <c r="A106" s="5"/>
      <c r="B106" s="6"/>
      <c r="C106" s="13"/>
      <c r="D106" s="5"/>
      <c r="E106" s="8"/>
      <c r="F106" s="5"/>
      <c r="G106" s="5"/>
    </row>
    <row r="107" spans="1:559" ht="17.25" customHeight="1" x14ac:dyDescent="0.25">
      <c r="A107" s="5"/>
      <c r="B107" s="6" t="s">
        <v>88</v>
      </c>
      <c r="C107" s="13" t="s">
        <v>89</v>
      </c>
      <c r="D107" s="27">
        <f>D42-D105</f>
        <v>492380</v>
      </c>
      <c r="E107" s="42" t="s">
        <v>0</v>
      </c>
      <c r="F107" s="5"/>
      <c r="G107" s="5"/>
    </row>
    <row r="108" spans="1:559" ht="17.25" customHeight="1" x14ac:dyDescent="0.3">
      <c r="A108" s="43" t="s">
        <v>0</v>
      </c>
      <c r="B108" s="12"/>
      <c r="C108" s="13"/>
      <c r="D108" s="5" t="s">
        <v>0</v>
      </c>
      <c r="E108" s="8"/>
      <c r="F108" s="5"/>
      <c r="G108" s="5"/>
    </row>
    <row r="109" spans="1:559" ht="17.25" customHeight="1" x14ac:dyDescent="0.3">
      <c r="A109" s="43"/>
      <c r="B109" s="12" t="s">
        <v>90</v>
      </c>
      <c r="C109" s="13" t="s">
        <v>91</v>
      </c>
      <c r="D109" s="44">
        <v>5643188.7400000002</v>
      </c>
      <c r="E109" s="44" t="s">
        <v>0</v>
      </c>
      <c r="F109" s="5"/>
      <c r="G109" s="5"/>
    </row>
    <row r="110" spans="1:559" ht="17.25" customHeight="1" x14ac:dyDescent="0.3">
      <c r="A110" s="43"/>
      <c r="B110" s="12" t="s">
        <v>92</v>
      </c>
      <c r="C110" s="13" t="s">
        <v>45</v>
      </c>
      <c r="D110" s="44">
        <f>D107+D109</f>
        <v>6135568.7400000002</v>
      </c>
      <c r="E110" s="42" t="s">
        <v>0</v>
      </c>
      <c r="F110" s="43"/>
      <c r="G110" s="43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45"/>
      <c r="BX110" s="45"/>
      <c r="BY110" s="45"/>
      <c r="BZ110" s="45"/>
      <c r="CA110" s="45"/>
      <c r="CB110" s="45"/>
      <c r="CC110" s="45"/>
      <c r="CD110" s="45"/>
      <c r="CE110" s="45"/>
      <c r="CF110" s="45"/>
      <c r="CG110" s="45"/>
      <c r="CH110" s="45"/>
      <c r="CI110" s="45"/>
      <c r="CJ110" s="45"/>
      <c r="CK110" s="45"/>
      <c r="CL110" s="45"/>
      <c r="CM110" s="45"/>
      <c r="CN110" s="45"/>
      <c r="CO110" s="45"/>
      <c r="CP110" s="45"/>
      <c r="CQ110" s="45"/>
      <c r="CR110" s="45"/>
      <c r="CS110" s="45"/>
      <c r="CT110" s="45"/>
      <c r="CU110" s="45"/>
      <c r="CV110" s="45"/>
      <c r="CW110" s="45"/>
      <c r="CX110" s="45"/>
      <c r="CY110" s="45"/>
      <c r="CZ110" s="45"/>
      <c r="DA110" s="45"/>
      <c r="DB110" s="45"/>
      <c r="DC110" s="45"/>
      <c r="DD110" s="45"/>
      <c r="DE110" s="45"/>
      <c r="DF110" s="45"/>
      <c r="DG110" s="45"/>
      <c r="DH110" s="45"/>
      <c r="DI110" s="45"/>
      <c r="DJ110" s="45"/>
      <c r="DK110" s="45"/>
      <c r="DL110" s="45"/>
      <c r="DM110" s="45"/>
      <c r="DN110" s="45"/>
      <c r="DO110" s="45"/>
      <c r="DP110" s="45"/>
      <c r="DQ110" s="45"/>
      <c r="DR110" s="45"/>
      <c r="DS110" s="45"/>
      <c r="DT110" s="45"/>
      <c r="DU110" s="45"/>
      <c r="DV110" s="45"/>
      <c r="DW110" s="45"/>
      <c r="DX110" s="45"/>
      <c r="DY110" s="45"/>
      <c r="DZ110" s="45"/>
      <c r="EA110" s="45"/>
      <c r="EB110" s="45"/>
      <c r="EC110" s="45"/>
      <c r="ED110" s="45"/>
      <c r="EE110" s="45"/>
      <c r="EF110" s="45"/>
      <c r="EG110" s="45"/>
      <c r="EH110" s="45"/>
      <c r="EI110" s="45"/>
      <c r="EJ110" s="45"/>
      <c r="EK110" s="45"/>
      <c r="EL110" s="45"/>
      <c r="EM110" s="45"/>
      <c r="EN110" s="45"/>
      <c r="EO110" s="45"/>
      <c r="EP110" s="45"/>
      <c r="EQ110" s="45"/>
      <c r="ER110" s="45"/>
      <c r="ES110" s="45"/>
      <c r="ET110" s="45"/>
      <c r="EU110" s="45"/>
      <c r="EV110" s="45"/>
      <c r="EW110" s="45"/>
      <c r="EX110" s="45"/>
      <c r="EY110" s="45"/>
      <c r="EZ110" s="45"/>
      <c r="FA110" s="45"/>
      <c r="FB110" s="45"/>
      <c r="FC110" s="45"/>
      <c r="FD110" s="45"/>
      <c r="FE110" s="45"/>
      <c r="FF110" s="45"/>
      <c r="FG110" s="45"/>
      <c r="FH110" s="45"/>
      <c r="FI110" s="45"/>
      <c r="FJ110" s="45"/>
      <c r="FK110" s="45"/>
      <c r="FL110" s="45"/>
      <c r="FM110" s="45"/>
      <c r="FN110" s="45"/>
      <c r="FO110" s="45"/>
      <c r="FP110" s="45"/>
      <c r="FQ110" s="45"/>
      <c r="FR110" s="45"/>
      <c r="FS110" s="45"/>
      <c r="FT110" s="45"/>
      <c r="FU110" s="45"/>
      <c r="FV110" s="45"/>
      <c r="FW110" s="45"/>
      <c r="FX110" s="45"/>
      <c r="FY110" s="45"/>
      <c r="FZ110" s="45"/>
      <c r="GA110" s="45"/>
      <c r="GB110" s="45"/>
      <c r="GC110" s="45"/>
      <c r="GD110" s="45"/>
      <c r="GE110" s="45"/>
      <c r="GF110" s="45"/>
      <c r="GG110" s="45"/>
      <c r="GH110" s="45"/>
      <c r="GI110" s="45"/>
      <c r="GJ110" s="45"/>
      <c r="GK110" s="45"/>
      <c r="GL110" s="45"/>
      <c r="GM110" s="45"/>
      <c r="GN110" s="45"/>
      <c r="GO110" s="45"/>
      <c r="GP110" s="45"/>
      <c r="GQ110" s="45"/>
      <c r="GR110" s="45"/>
      <c r="GS110" s="45"/>
      <c r="GT110" s="45"/>
      <c r="GU110" s="45"/>
      <c r="GV110" s="45"/>
      <c r="GW110" s="45"/>
      <c r="GX110" s="45"/>
      <c r="GY110" s="45"/>
      <c r="GZ110" s="45"/>
      <c r="HA110" s="45"/>
      <c r="HB110" s="45"/>
      <c r="HC110" s="45"/>
      <c r="HD110" s="45"/>
      <c r="HE110" s="45"/>
      <c r="HF110" s="45"/>
      <c r="HG110" s="45"/>
      <c r="HH110" s="45"/>
      <c r="HI110" s="45"/>
      <c r="HJ110" s="45"/>
      <c r="HK110" s="45"/>
      <c r="HL110" s="45"/>
      <c r="HM110" s="45"/>
      <c r="HN110" s="45"/>
      <c r="HO110" s="45"/>
      <c r="HP110" s="45"/>
      <c r="HQ110" s="45"/>
      <c r="HR110" s="45"/>
      <c r="HS110" s="45"/>
      <c r="HT110" s="45"/>
      <c r="HU110" s="45"/>
      <c r="HV110" s="45"/>
      <c r="HW110" s="45"/>
      <c r="HX110" s="45"/>
      <c r="HY110" s="45"/>
      <c r="HZ110" s="45"/>
      <c r="IA110" s="45"/>
      <c r="IB110" s="45"/>
      <c r="IC110" s="45"/>
      <c r="ID110" s="45"/>
      <c r="IE110" s="45"/>
      <c r="IF110" s="45"/>
      <c r="IG110" s="45"/>
      <c r="IH110" s="45"/>
      <c r="II110" s="45"/>
      <c r="IJ110" s="45"/>
      <c r="IK110" s="45"/>
      <c r="IL110" s="45"/>
      <c r="IM110" s="45"/>
      <c r="IN110" s="45"/>
      <c r="IO110" s="45"/>
      <c r="IP110" s="45"/>
      <c r="IQ110" s="45"/>
      <c r="IR110" s="45"/>
      <c r="IS110" s="45"/>
      <c r="IT110" s="45"/>
      <c r="IU110" s="45"/>
      <c r="IV110" s="45"/>
      <c r="IW110" s="45"/>
      <c r="IX110" s="45"/>
      <c r="IY110" s="45"/>
      <c r="IZ110" s="45"/>
      <c r="JA110" s="45"/>
      <c r="JB110" s="45"/>
      <c r="JC110" s="45"/>
      <c r="JD110" s="45"/>
      <c r="JE110" s="45"/>
      <c r="JF110" s="45"/>
      <c r="JG110" s="45"/>
      <c r="JH110" s="45"/>
      <c r="JI110" s="45"/>
      <c r="JJ110" s="45"/>
      <c r="JK110" s="45"/>
      <c r="JL110" s="45"/>
      <c r="JM110" s="45"/>
      <c r="JN110" s="45"/>
      <c r="JO110" s="45"/>
      <c r="JP110" s="45"/>
      <c r="JQ110" s="45"/>
      <c r="JR110" s="45"/>
      <c r="JS110" s="45"/>
      <c r="JT110" s="45"/>
      <c r="JU110" s="45"/>
      <c r="JV110" s="45"/>
      <c r="JW110" s="45"/>
      <c r="JX110" s="45"/>
      <c r="JY110" s="45"/>
      <c r="JZ110" s="45"/>
      <c r="KA110" s="45"/>
      <c r="KB110" s="45"/>
      <c r="KC110" s="45"/>
      <c r="KD110" s="45"/>
      <c r="KE110" s="45"/>
      <c r="KF110" s="45"/>
      <c r="KG110" s="45"/>
      <c r="KH110" s="45"/>
      <c r="KI110" s="45"/>
      <c r="KJ110" s="45"/>
      <c r="KK110" s="45"/>
      <c r="KL110" s="45"/>
      <c r="KM110" s="45"/>
      <c r="KN110" s="45"/>
      <c r="KO110" s="45"/>
      <c r="KP110" s="45"/>
      <c r="KQ110" s="45"/>
      <c r="KR110" s="45"/>
      <c r="KS110" s="45"/>
      <c r="KT110" s="45"/>
      <c r="KU110" s="45"/>
      <c r="KV110" s="45"/>
      <c r="KW110" s="45"/>
      <c r="KX110" s="45"/>
      <c r="KY110" s="45"/>
      <c r="KZ110" s="45"/>
      <c r="LA110" s="45"/>
      <c r="LB110" s="45"/>
      <c r="LC110" s="45"/>
      <c r="LD110" s="45"/>
      <c r="LE110" s="45"/>
      <c r="LF110" s="45"/>
      <c r="LG110" s="45"/>
      <c r="LH110" s="45"/>
      <c r="LI110" s="45"/>
      <c r="LJ110" s="45"/>
      <c r="LK110" s="45"/>
      <c r="LL110" s="45"/>
      <c r="LM110" s="45"/>
      <c r="LN110" s="45"/>
      <c r="LO110" s="45"/>
      <c r="LP110" s="45"/>
      <c r="LQ110" s="45"/>
      <c r="LR110" s="45"/>
      <c r="LS110" s="45"/>
      <c r="LT110" s="45"/>
      <c r="LU110" s="45"/>
      <c r="LV110" s="45"/>
      <c r="LW110" s="45"/>
      <c r="LX110" s="45"/>
      <c r="LY110" s="45"/>
      <c r="LZ110" s="45"/>
      <c r="MA110" s="45"/>
      <c r="MB110" s="45"/>
      <c r="MC110" s="45"/>
      <c r="MD110" s="45"/>
      <c r="ME110" s="45"/>
      <c r="MF110" s="45"/>
      <c r="MG110" s="45"/>
      <c r="MH110" s="45"/>
      <c r="MI110" s="45"/>
      <c r="MJ110" s="45"/>
      <c r="MK110" s="45"/>
      <c r="ML110" s="45"/>
      <c r="MM110" s="45"/>
      <c r="MN110" s="45"/>
      <c r="MO110" s="45"/>
      <c r="MP110" s="45"/>
      <c r="MQ110" s="45"/>
      <c r="MR110" s="45"/>
      <c r="MS110" s="45"/>
      <c r="MT110" s="45"/>
      <c r="MU110" s="45"/>
      <c r="MV110" s="45"/>
      <c r="MW110" s="45"/>
      <c r="MX110" s="45"/>
      <c r="MY110" s="45"/>
      <c r="MZ110" s="45"/>
      <c r="NA110" s="45"/>
      <c r="NB110" s="45"/>
      <c r="NC110" s="45"/>
      <c r="ND110" s="45"/>
      <c r="NE110" s="45"/>
      <c r="NF110" s="45"/>
      <c r="NG110" s="45"/>
      <c r="NH110" s="45"/>
      <c r="NI110" s="45"/>
      <c r="NJ110" s="45"/>
      <c r="NK110" s="45"/>
      <c r="NL110" s="45"/>
      <c r="NM110" s="45"/>
      <c r="NN110" s="45"/>
      <c r="NO110" s="45"/>
      <c r="NP110" s="45"/>
      <c r="NQ110" s="45"/>
      <c r="NR110" s="45"/>
      <c r="NS110" s="45"/>
      <c r="NT110" s="45"/>
      <c r="NU110" s="45"/>
      <c r="NV110" s="45"/>
      <c r="NW110" s="45"/>
      <c r="NX110" s="45"/>
      <c r="NY110" s="45"/>
      <c r="NZ110" s="45"/>
      <c r="OA110" s="45"/>
      <c r="OB110" s="45"/>
      <c r="OC110" s="45"/>
      <c r="OD110" s="45"/>
      <c r="OE110" s="45"/>
      <c r="OF110" s="45"/>
      <c r="OG110" s="45"/>
      <c r="OH110" s="45"/>
      <c r="OI110" s="45"/>
      <c r="OJ110" s="45"/>
      <c r="OK110" s="45"/>
      <c r="OL110" s="45"/>
      <c r="OM110" s="45"/>
      <c r="ON110" s="45"/>
      <c r="OO110" s="45"/>
      <c r="OP110" s="45"/>
      <c r="OQ110" s="45"/>
      <c r="OR110" s="45"/>
      <c r="OS110" s="45"/>
      <c r="OT110" s="45"/>
      <c r="OU110" s="45"/>
      <c r="OV110" s="45"/>
      <c r="OW110" s="45"/>
      <c r="OX110" s="45"/>
      <c r="OY110" s="45"/>
      <c r="OZ110" s="45"/>
      <c r="PA110" s="45"/>
      <c r="PB110" s="45"/>
      <c r="PC110" s="45"/>
      <c r="PD110" s="45"/>
      <c r="PE110" s="45"/>
      <c r="PF110" s="45"/>
      <c r="PG110" s="45"/>
      <c r="PH110" s="45"/>
      <c r="PI110" s="45"/>
      <c r="PJ110" s="45"/>
      <c r="PK110" s="45"/>
      <c r="PL110" s="45"/>
      <c r="PM110" s="45"/>
      <c r="PN110" s="45"/>
      <c r="PO110" s="45"/>
      <c r="PP110" s="45"/>
      <c r="PQ110" s="45"/>
      <c r="PR110" s="45"/>
      <c r="PS110" s="45"/>
      <c r="PT110" s="45"/>
      <c r="PU110" s="45"/>
      <c r="PV110" s="45"/>
      <c r="PW110" s="45"/>
      <c r="PX110" s="45"/>
      <c r="PY110" s="45"/>
      <c r="PZ110" s="45"/>
      <c r="QA110" s="45"/>
      <c r="QB110" s="45"/>
      <c r="QC110" s="45"/>
      <c r="QD110" s="45"/>
      <c r="QE110" s="45"/>
      <c r="QF110" s="45"/>
      <c r="QG110" s="45"/>
      <c r="QH110" s="45"/>
      <c r="QI110" s="45"/>
      <c r="QJ110" s="45"/>
      <c r="QK110" s="45"/>
      <c r="QL110" s="45"/>
      <c r="QM110" s="45"/>
      <c r="QN110" s="45"/>
      <c r="QO110" s="45"/>
      <c r="QP110" s="45"/>
      <c r="QQ110" s="45"/>
      <c r="QR110" s="45"/>
      <c r="QS110" s="45"/>
      <c r="QT110" s="45"/>
      <c r="QU110" s="45"/>
      <c r="QV110" s="45"/>
      <c r="QW110" s="45"/>
      <c r="QX110" s="45"/>
      <c r="QY110" s="45"/>
      <c r="QZ110" s="45"/>
      <c r="RA110" s="45"/>
      <c r="RB110" s="45"/>
      <c r="RC110" s="45"/>
      <c r="RD110" s="45"/>
      <c r="RE110" s="45"/>
      <c r="RF110" s="45"/>
      <c r="RG110" s="45"/>
      <c r="RH110" s="45"/>
      <c r="RI110" s="45"/>
      <c r="RJ110" s="45"/>
      <c r="RK110" s="45"/>
      <c r="RL110" s="45"/>
      <c r="RM110" s="45"/>
      <c r="RN110" s="45"/>
      <c r="RO110" s="45"/>
      <c r="RP110" s="45"/>
      <c r="RQ110" s="45"/>
      <c r="RR110" s="45"/>
      <c r="RS110" s="45"/>
      <c r="RT110" s="45"/>
      <c r="RU110" s="45"/>
      <c r="RV110" s="45"/>
      <c r="RW110" s="45"/>
      <c r="RX110" s="45"/>
      <c r="RY110" s="45"/>
      <c r="RZ110" s="45"/>
      <c r="SA110" s="45"/>
      <c r="SB110" s="45"/>
      <c r="SC110" s="45"/>
      <c r="SD110" s="45"/>
      <c r="SE110" s="45"/>
      <c r="SF110" s="45"/>
      <c r="SG110" s="45"/>
      <c r="SH110" s="45"/>
      <c r="SI110" s="45"/>
      <c r="SJ110" s="45"/>
      <c r="SK110" s="45"/>
      <c r="SL110" s="45"/>
      <c r="SM110" s="45"/>
      <c r="SN110" s="45"/>
      <c r="SO110" s="45"/>
      <c r="SP110" s="45"/>
      <c r="SQ110" s="45"/>
      <c r="SR110" s="45"/>
      <c r="SS110" s="45"/>
      <c r="ST110" s="45"/>
      <c r="SU110" s="45"/>
      <c r="SV110" s="45"/>
      <c r="SW110" s="45"/>
      <c r="SX110" s="45"/>
      <c r="SY110" s="45"/>
      <c r="SZ110" s="45"/>
      <c r="TA110" s="45"/>
      <c r="TB110" s="45"/>
      <c r="TC110" s="45"/>
      <c r="TD110" s="45"/>
      <c r="TE110" s="45"/>
      <c r="TF110" s="45"/>
      <c r="TG110" s="45"/>
      <c r="TH110" s="45"/>
      <c r="TI110" s="45"/>
      <c r="TJ110" s="45"/>
      <c r="TK110" s="45"/>
      <c r="TL110" s="45"/>
      <c r="TM110" s="45"/>
      <c r="TN110" s="45"/>
      <c r="TO110" s="45"/>
      <c r="TP110" s="45"/>
      <c r="TQ110" s="45"/>
      <c r="TR110" s="45"/>
      <c r="TS110" s="45"/>
      <c r="TT110" s="45"/>
      <c r="TU110" s="45"/>
      <c r="TV110" s="45"/>
      <c r="TW110" s="45"/>
      <c r="TX110" s="45"/>
      <c r="TY110" s="45"/>
      <c r="TZ110" s="45"/>
      <c r="UA110" s="45"/>
      <c r="UB110" s="45"/>
      <c r="UC110" s="45"/>
      <c r="UD110" s="45"/>
      <c r="UE110" s="45"/>
      <c r="UF110" s="45"/>
      <c r="UG110" s="45"/>
      <c r="UH110" s="45"/>
      <c r="UI110" s="45"/>
      <c r="UJ110" s="45"/>
      <c r="UK110" s="45"/>
      <c r="UL110" s="45"/>
      <c r="UM110" s="45"/>
    </row>
    <row r="111" spans="1:559" ht="17.25" customHeight="1" x14ac:dyDescent="0.3">
      <c r="A111" s="43"/>
      <c r="B111" s="12"/>
      <c r="C111" s="2"/>
      <c r="D111" s="1"/>
      <c r="E111" s="8" t="s">
        <v>0</v>
      </c>
      <c r="F111" s="5"/>
      <c r="G111" s="5"/>
    </row>
    <row r="112" spans="1:559" ht="17.25" customHeight="1" x14ac:dyDescent="0.3">
      <c r="A112" s="43"/>
      <c r="B112" s="12"/>
      <c r="C112" s="2"/>
      <c r="D112" s="1"/>
      <c r="E112" s="8"/>
      <c r="F112" s="5"/>
      <c r="G112" s="5"/>
    </row>
    <row r="113" spans="1:8" ht="12.75" customHeight="1" x14ac:dyDescent="0.25">
      <c r="A113" s="5"/>
      <c r="B113" s="6"/>
      <c r="C113" s="13" t="s">
        <v>46</v>
      </c>
      <c r="D113" s="5" t="s">
        <v>0</v>
      </c>
      <c r="E113" s="8" t="s">
        <v>0</v>
      </c>
      <c r="F113" s="5"/>
      <c r="G113" s="5"/>
    </row>
    <row r="114" spans="1:8" ht="12.75" customHeight="1" x14ac:dyDescent="0.25">
      <c r="A114" s="5"/>
      <c r="B114" s="6"/>
      <c r="C114" s="13"/>
      <c r="D114" s="5"/>
      <c r="E114" s="8"/>
      <c r="F114" s="5"/>
      <c r="G114" s="5"/>
    </row>
    <row r="115" spans="1:8" ht="26.25" customHeight="1" x14ac:dyDescent="0.25">
      <c r="A115" s="5"/>
      <c r="B115" s="6"/>
      <c r="C115" s="8"/>
      <c r="D115" s="48"/>
      <c r="E115" s="8"/>
      <c r="F115" s="29"/>
      <c r="G115" s="5"/>
    </row>
    <row r="116" spans="1:8" ht="26.25" customHeight="1" x14ac:dyDescent="0.25">
      <c r="A116" s="5"/>
      <c r="B116" s="6"/>
      <c r="C116" s="8"/>
      <c r="D116" s="17"/>
      <c r="E116" s="8"/>
      <c r="F116" s="5"/>
      <c r="G116" s="5"/>
    </row>
    <row r="117" spans="1:8" ht="26.25" customHeight="1" x14ac:dyDescent="0.25">
      <c r="A117" s="5"/>
      <c r="B117" s="6"/>
      <c r="C117" s="8"/>
      <c r="D117" s="17"/>
      <c r="E117" s="8"/>
      <c r="F117" s="5"/>
      <c r="G117" s="5"/>
    </row>
    <row r="118" spans="1:8" ht="26.25" customHeight="1" x14ac:dyDescent="0.25">
      <c r="A118" s="5"/>
      <c r="B118" s="6"/>
      <c r="C118" s="8"/>
      <c r="D118" s="39"/>
      <c r="E118" s="8"/>
      <c r="F118" s="5"/>
      <c r="G118" s="5"/>
    </row>
    <row r="119" spans="1:8" ht="26.25" customHeight="1" x14ac:dyDescent="0.25">
      <c r="A119" s="5"/>
      <c r="B119" s="6"/>
      <c r="C119" s="8"/>
      <c r="D119" s="39"/>
      <c r="E119" s="8"/>
      <c r="F119" s="5"/>
      <c r="G119" s="5" t="s">
        <v>0</v>
      </c>
      <c r="H119" s="14" t="s">
        <v>0</v>
      </c>
    </row>
    <row r="120" spans="1:8" ht="26.25" customHeight="1" x14ac:dyDescent="0.25">
      <c r="A120" s="5"/>
      <c r="B120" s="6"/>
      <c r="C120" s="8"/>
      <c r="D120" s="39"/>
      <c r="E120" s="8"/>
      <c r="F120" s="5"/>
      <c r="G120" s="5"/>
    </row>
    <row r="121" spans="1:8" ht="26.25" customHeight="1" x14ac:dyDescent="0.25">
      <c r="A121" s="5"/>
      <c r="B121" s="6"/>
      <c r="C121" s="8"/>
      <c r="D121" s="39"/>
      <c r="E121" s="8"/>
      <c r="F121" s="5"/>
      <c r="G121" s="5"/>
    </row>
    <row r="122" spans="1:8" ht="26.25" customHeight="1" x14ac:dyDescent="0.25">
      <c r="A122" s="5"/>
      <c r="B122" s="6"/>
      <c r="C122" s="8"/>
      <c r="D122" s="63"/>
      <c r="E122" s="25"/>
      <c r="F122" s="5"/>
      <c r="G122" s="5"/>
    </row>
    <row r="123" spans="1:8" ht="26.25" customHeight="1" x14ac:dyDescent="0.25">
      <c r="A123" s="5"/>
      <c r="B123" s="6"/>
      <c r="C123" s="8"/>
      <c r="D123" s="63"/>
      <c r="E123" s="25"/>
      <c r="F123" s="39"/>
      <c r="G123" s="5"/>
    </row>
    <row r="124" spans="1:8" ht="26.25" customHeight="1" x14ac:dyDescent="0.25">
      <c r="A124" s="5"/>
      <c r="B124" s="6"/>
      <c r="C124" s="8"/>
      <c r="D124" s="47"/>
      <c r="E124" s="8"/>
      <c r="F124" s="64"/>
      <c r="G124" s="5"/>
    </row>
    <row r="125" spans="1:8" ht="26.25" customHeight="1" x14ac:dyDescent="0.25">
      <c r="A125" s="5"/>
      <c r="B125" s="6"/>
      <c r="C125" s="8"/>
      <c r="D125" s="39"/>
      <c r="E125" s="8"/>
      <c r="F125" s="39"/>
      <c r="G125" s="5"/>
    </row>
    <row r="126" spans="1:8" ht="26.25" customHeight="1" x14ac:dyDescent="0.25">
      <c r="A126" s="5"/>
      <c r="B126" s="6"/>
      <c r="C126" s="8"/>
      <c r="D126" s="39"/>
      <c r="E126" s="8"/>
      <c r="F126" s="39"/>
      <c r="G126" s="39">
        <f>(31250/2-7347/2)</f>
        <v>11951.5</v>
      </c>
    </row>
    <row r="127" spans="1:8" ht="26.25" customHeight="1" x14ac:dyDescent="0.25">
      <c r="A127" s="5"/>
      <c r="B127" s="6"/>
      <c r="C127" s="8"/>
      <c r="D127" s="39"/>
      <c r="E127" s="8"/>
      <c r="F127" s="39"/>
      <c r="G127" s="39"/>
    </row>
    <row r="128" spans="1:8" ht="26.25" customHeight="1" x14ac:dyDescent="0.25">
      <c r="A128" s="5"/>
      <c r="B128" s="6"/>
      <c r="C128" s="8"/>
      <c r="D128" s="39"/>
      <c r="E128" s="8"/>
      <c r="F128" s="39"/>
      <c r="G128" s="39"/>
    </row>
    <row r="129" spans="1:8" ht="12.75" customHeight="1" x14ac:dyDescent="0.25">
      <c r="A129" s="5"/>
      <c r="B129" s="6"/>
      <c r="C129" s="13"/>
      <c r="D129" s="48"/>
      <c r="E129" s="8"/>
      <c r="F129" s="5"/>
      <c r="G129" s="5"/>
    </row>
    <row r="130" spans="1:8" ht="12.75" customHeight="1" x14ac:dyDescent="0.25">
      <c r="A130" s="5"/>
      <c r="B130" s="6"/>
      <c r="C130" s="13"/>
      <c r="D130" s="49"/>
      <c r="E130" s="8"/>
      <c r="F130" s="5"/>
      <c r="G130" s="5"/>
    </row>
    <row r="131" spans="1:8" ht="12.75" customHeight="1" x14ac:dyDescent="0.25">
      <c r="A131" s="17"/>
      <c r="B131" s="6"/>
      <c r="C131" s="13"/>
      <c r="D131" s="50"/>
      <c r="E131" s="8"/>
      <c r="F131" s="5"/>
      <c r="G131" s="5"/>
    </row>
    <row r="132" spans="1:8" ht="12.75" customHeight="1" x14ac:dyDescent="0.25">
      <c r="A132" s="17"/>
      <c r="B132" s="6"/>
      <c r="C132" s="13"/>
      <c r="D132" s="49"/>
      <c r="E132" s="8"/>
      <c r="F132" s="5"/>
      <c r="G132" s="5">
        <v>83160</v>
      </c>
      <c r="H132" s="1">
        <v>2000000</v>
      </c>
    </row>
    <row r="133" spans="1:8" ht="12.75" customHeight="1" x14ac:dyDescent="0.25">
      <c r="A133" s="5"/>
      <c r="B133" s="6"/>
      <c r="C133" s="13"/>
      <c r="D133" s="32"/>
      <c r="E133" s="8"/>
      <c r="F133" s="5"/>
      <c r="G133" s="5"/>
      <c r="H133" s="1">
        <f>H132/G132</f>
        <v>24.050024050024049</v>
      </c>
    </row>
    <row r="134" spans="1:8" ht="12.75" customHeight="1" x14ac:dyDescent="0.25">
      <c r="A134" s="5"/>
      <c r="B134" s="6"/>
      <c r="C134" s="13"/>
      <c r="D134" s="32"/>
      <c r="E134" s="67"/>
      <c r="F134" s="66"/>
      <c r="G134" s="5"/>
    </row>
    <row r="135" spans="1:8" ht="12.75" customHeight="1" x14ac:dyDescent="0.25">
      <c r="A135" s="5"/>
      <c r="B135" s="6"/>
      <c r="C135" s="2"/>
      <c r="D135" s="5"/>
      <c r="E135" s="8"/>
      <c r="F135" s="5"/>
      <c r="G135" s="5"/>
    </row>
    <row r="136" spans="1:8" ht="12.75" customHeight="1" x14ac:dyDescent="0.25">
      <c r="A136" s="5"/>
      <c r="B136" s="6"/>
      <c r="C136" s="2"/>
      <c r="D136" s="5"/>
      <c r="E136" s="8"/>
      <c r="F136" s="5"/>
      <c r="G136" s="5"/>
    </row>
    <row r="137" spans="1:8" ht="12.75" customHeight="1" x14ac:dyDescent="0.25">
      <c r="A137" s="5"/>
      <c r="B137" s="6"/>
      <c r="C137" s="2"/>
      <c r="D137" s="5"/>
      <c r="E137" s="8"/>
      <c r="F137" s="5"/>
      <c r="G137" s="5"/>
    </row>
    <row r="138" spans="1:8" ht="12.75" customHeight="1" x14ac:dyDescent="0.25">
      <c r="A138" s="5"/>
      <c r="B138" s="6"/>
      <c r="C138" s="2"/>
      <c r="D138" s="5"/>
      <c r="E138" s="8"/>
      <c r="F138" s="5"/>
      <c r="G138" s="5"/>
    </row>
    <row r="139" spans="1:8" ht="12.75" customHeight="1" x14ac:dyDescent="0.25">
      <c r="A139" s="5"/>
      <c r="B139" s="6"/>
      <c r="C139" s="2"/>
      <c r="D139" s="5"/>
      <c r="E139" s="8"/>
      <c r="F139" s="5"/>
      <c r="G139" s="5"/>
    </row>
    <row r="140" spans="1:8" ht="12.75" customHeight="1" x14ac:dyDescent="0.25">
      <c r="A140" s="5"/>
      <c r="B140" s="6"/>
      <c r="C140" s="2"/>
      <c r="D140" s="5"/>
      <c r="E140" s="8"/>
      <c r="F140" s="5"/>
      <c r="G140" s="5"/>
    </row>
    <row r="141" spans="1:8" ht="12.75" customHeight="1" x14ac:dyDescent="0.25">
      <c r="A141" s="5"/>
      <c r="B141" s="6"/>
      <c r="C141" s="2"/>
      <c r="D141" s="5"/>
      <c r="E141" s="8"/>
      <c r="F141" s="5"/>
      <c r="G141" s="5"/>
    </row>
    <row r="142" spans="1:8" ht="12.75" customHeight="1" x14ac:dyDescent="0.3">
      <c r="A142" s="5"/>
      <c r="B142" s="6"/>
      <c r="C142" s="51"/>
      <c r="D142" s="52"/>
      <c r="E142" s="13"/>
      <c r="F142" s="5"/>
      <c r="G142" s="5"/>
    </row>
    <row r="143" spans="1:8" ht="12.75" customHeight="1" x14ac:dyDescent="0.25">
      <c r="A143" s="5"/>
      <c r="B143" s="6"/>
      <c r="C143" s="2"/>
      <c r="D143" s="27"/>
      <c r="E143" s="8"/>
      <c r="F143" s="5"/>
      <c r="G143" s="5"/>
    </row>
    <row r="144" spans="1:8" ht="12.75" customHeight="1" x14ac:dyDescent="0.25">
      <c r="A144" s="5"/>
      <c r="B144" s="6"/>
      <c r="C144" s="2"/>
      <c r="D144" s="46"/>
      <c r="E144" s="8"/>
      <c r="F144" s="5"/>
      <c r="G144" s="5"/>
    </row>
    <row r="145" spans="1:7" ht="12.75" customHeight="1" x14ac:dyDescent="0.25">
      <c r="A145" s="5"/>
      <c r="B145" s="6"/>
      <c r="C145" s="13"/>
      <c r="D145" s="5"/>
      <c r="E145" s="8"/>
      <c r="F145" s="5"/>
      <c r="G145" s="5"/>
    </row>
    <row r="146" spans="1:7" ht="12.75" customHeight="1" x14ac:dyDescent="0.25">
      <c r="A146" s="5"/>
      <c r="B146" s="6"/>
      <c r="C146" s="8"/>
      <c r="D146" s="53"/>
      <c r="E146" s="8"/>
      <c r="F146" s="5"/>
      <c r="G146" s="5"/>
    </row>
    <row r="147" spans="1:7" ht="12.75" customHeight="1" x14ac:dyDescent="0.25">
      <c r="A147" s="5"/>
      <c r="B147" s="6"/>
      <c r="C147" s="8"/>
      <c r="D147" s="53"/>
      <c r="E147" s="8"/>
      <c r="F147" s="5"/>
      <c r="G147" s="5"/>
    </row>
    <row r="148" spans="1:7" ht="12.75" customHeight="1" x14ac:dyDescent="0.25">
      <c r="A148" s="5"/>
      <c r="B148" s="6"/>
      <c r="C148" s="8"/>
      <c r="D148" s="53"/>
      <c r="E148" s="8"/>
      <c r="F148" s="5"/>
      <c r="G148" s="5"/>
    </row>
    <row r="149" spans="1:7" ht="12.75" customHeight="1" x14ac:dyDescent="0.25">
      <c r="A149" s="5"/>
      <c r="B149" s="6"/>
      <c r="C149" s="8"/>
      <c r="D149" s="53"/>
      <c r="E149" s="8"/>
      <c r="F149" s="5"/>
      <c r="G149" s="5"/>
    </row>
    <row r="150" spans="1:7" ht="12.75" customHeight="1" x14ac:dyDescent="0.25">
      <c r="A150" s="5"/>
      <c r="B150" s="6"/>
      <c r="C150" s="8"/>
      <c r="D150" s="53"/>
      <c r="E150" s="8"/>
      <c r="F150" s="5"/>
      <c r="G150" s="5"/>
    </row>
    <row r="151" spans="1:7" ht="12.75" customHeight="1" x14ac:dyDescent="0.25">
      <c r="A151" s="5"/>
      <c r="B151" s="6"/>
      <c r="C151" s="8"/>
      <c r="D151" s="53"/>
      <c r="E151" s="8"/>
      <c r="F151" s="5"/>
      <c r="G151" s="5"/>
    </row>
    <row r="152" spans="1:7" ht="12.75" customHeight="1" x14ac:dyDescent="0.25">
      <c r="A152" s="5"/>
      <c r="B152" s="6"/>
      <c r="C152" s="8"/>
      <c r="D152" s="53"/>
      <c r="E152" s="8"/>
      <c r="F152" s="5"/>
      <c r="G152" s="5"/>
    </row>
    <row r="153" spans="1:7" ht="12.75" customHeight="1" x14ac:dyDescent="0.25">
      <c r="A153" s="5"/>
      <c r="B153" s="6"/>
      <c r="C153" s="8"/>
      <c r="D153" s="5"/>
      <c r="E153" s="8"/>
      <c r="F153" s="5"/>
      <c r="G153" s="5"/>
    </row>
    <row r="154" spans="1:7" ht="12.75" customHeight="1" x14ac:dyDescent="0.3">
      <c r="A154" s="54"/>
      <c r="B154" s="55"/>
      <c r="C154" s="8"/>
      <c r="D154" s="5"/>
      <c r="E154" s="8"/>
      <c r="F154" s="5"/>
      <c r="G154" s="5"/>
    </row>
    <row r="155" spans="1:7" ht="12.75" customHeight="1" x14ac:dyDescent="0.3">
      <c r="A155" s="54"/>
      <c r="B155" s="55"/>
      <c r="C155" s="8"/>
      <c r="D155" s="5"/>
      <c r="E155" s="8"/>
      <c r="F155" s="5"/>
      <c r="G155" s="5"/>
    </row>
    <row r="156" spans="1:7" ht="12.75" customHeight="1" x14ac:dyDescent="0.25">
      <c r="B156" s="2"/>
      <c r="C156" s="8"/>
      <c r="D156" s="5"/>
      <c r="E156" s="8"/>
      <c r="F156" s="5"/>
      <c r="G156" s="5"/>
    </row>
    <row r="157" spans="1:7" ht="12.75" customHeight="1" x14ac:dyDescent="0.25">
      <c r="B157" s="2"/>
      <c r="C157" s="8"/>
      <c r="D157" s="5"/>
      <c r="E157" s="8"/>
      <c r="F157" s="5"/>
      <c r="G157" s="5"/>
    </row>
    <row r="158" spans="1:7" ht="12.75" customHeight="1" x14ac:dyDescent="0.25">
      <c r="B158" s="2"/>
      <c r="C158" s="13"/>
      <c r="D158" s="49"/>
      <c r="E158" s="8"/>
      <c r="F158" s="5"/>
      <c r="G158" s="5"/>
    </row>
    <row r="159" spans="1:7" ht="12.75" customHeight="1" x14ac:dyDescent="0.25">
      <c r="B159" s="2"/>
      <c r="C159" s="2"/>
      <c r="D159" s="5"/>
      <c r="E159" s="8"/>
      <c r="F159" s="5"/>
      <c r="G159" s="5"/>
    </row>
    <row r="160" spans="1:7" ht="12.75" customHeight="1" x14ac:dyDescent="0.25">
      <c r="B160" s="2"/>
      <c r="C160" s="2"/>
      <c r="D160" s="56"/>
      <c r="E160" s="2"/>
      <c r="G160" s="4"/>
    </row>
    <row r="161" spans="2:7" ht="12.75" customHeight="1" x14ac:dyDescent="0.25">
      <c r="B161" s="2"/>
      <c r="C161" s="2"/>
      <c r="D161" s="56"/>
      <c r="E161" s="2"/>
      <c r="G161" s="4"/>
    </row>
    <row r="162" spans="2:7" ht="12.75" customHeight="1" x14ac:dyDescent="0.25">
      <c r="B162" s="2"/>
      <c r="C162" s="2"/>
      <c r="D162" s="56"/>
      <c r="E162" s="2"/>
      <c r="G162" s="4"/>
    </row>
    <row r="163" spans="2:7" ht="12.75" customHeight="1" x14ac:dyDescent="0.25">
      <c r="B163" s="2"/>
      <c r="C163" s="2"/>
      <c r="D163" s="56"/>
      <c r="E163" s="2"/>
      <c r="G163" s="4"/>
    </row>
    <row r="164" spans="2:7" ht="12.75" customHeight="1" x14ac:dyDescent="0.25">
      <c r="B164" s="2"/>
      <c r="C164" s="2"/>
      <c r="D164" s="56"/>
      <c r="E164" s="2"/>
      <c r="G164" s="4"/>
    </row>
    <row r="165" spans="2:7" ht="12.75" customHeight="1" x14ac:dyDescent="0.25">
      <c r="B165" s="2"/>
      <c r="C165" s="2"/>
      <c r="D165" s="56"/>
      <c r="E165" s="2"/>
      <c r="G165" s="4"/>
    </row>
    <row r="166" spans="2:7" ht="12.75" customHeight="1" x14ac:dyDescent="0.25">
      <c r="B166" s="2"/>
      <c r="D166" s="56"/>
      <c r="E166" s="2"/>
      <c r="G166" s="4"/>
    </row>
    <row r="167" spans="2:7" ht="12.75" customHeight="1" x14ac:dyDescent="0.25">
      <c r="B167" s="2"/>
      <c r="D167" s="56"/>
      <c r="E167" s="2"/>
      <c r="G167" s="4"/>
    </row>
    <row r="168" spans="2:7" ht="12.75" customHeight="1" x14ac:dyDescent="0.25">
      <c r="B168" s="2"/>
      <c r="D168" s="56"/>
      <c r="E168" s="2"/>
      <c r="G168" s="4"/>
    </row>
    <row r="169" spans="2:7" ht="12.75" customHeight="1" x14ac:dyDescent="0.25">
      <c r="B169" s="2"/>
      <c r="D169" s="56"/>
      <c r="E169" s="2"/>
      <c r="G169" s="4"/>
    </row>
    <row r="170" spans="2:7" ht="12.75" customHeight="1" x14ac:dyDescent="0.25">
      <c r="B170" s="2"/>
      <c r="D170" s="56"/>
      <c r="E170" s="2"/>
      <c r="G170" s="4"/>
    </row>
    <row r="171" spans="2:7" ht="12.75" customHeight="1" x14ac:dyDescent="0.25">
      <c r="B171" s="2"/>
      <c r="D171" s="56"/>
      <c r="E171" s="2"/>
      <c r="G171" s="4"/>
    </row>
    <row r="172" spans="2:7" ht="12.75" customHeight="1" x14ac:dyDescent="0.25">
      <c r="B172" s="2"/>
      <c r="D172" s="56"/>
      <c r="E172" s="2"/>
      <c r="G172" s="4"/>
    </row>
    <row r="173" spans="2:7" ht="12.75" customHeight="1" x14ac:dyDescent="0.25">
      <c r="B173" s="2"/>
      <c r="D173" s="56"/>
      <c r="E173" s="2"/>
      <c r="G173" s="4"/>
    </row>
    <row r="174" spans="2:7" ht="12.75" customHeight="1" x14ac:dyDescent="0.25">
      <c r="B174" s="2"/>
      <c r="D174" s="56"/>
      <c r="E174" s="2"/>
      <c r="G174" s="4"/>
    </row>
    <row r="175" spans="2:7" ht="12.75" customHeight="1" x14ac:dyDescent="0.25">
      <c r="B175" s="2"/>
      <c r="D175" s="56"/>
      <c r="E175" s="2"/>
      <c r="G175" s="4"/>
    </row>
    <row r="176" spans="2:7" ht="12.75" customHeight="1" x14ac:dyDescent="0.25">
      <c r="B176" s="2"/>
      <c r="D176" s="56"/>
      <c r="E176" s="2"/>
      <c r="G176" s="4"/>
    </row>
    <row r="177" spans="2:7" ht="12.75" customHeight="1" x14ac:dyDescent="0.25">
      <c r="B177" s="2"/>
      <c r="D177" s="56"/>
      <c r="E177" s="2"/>
      <c r="G177" s="4"/>
    </row>
    <row r="178" spans="2:7" ht="12.75" customHeight="1" x14ac:dyDescent="0.25">
      <c r="B178" s="2"/>
      <c r="D178" s="56"/>
      <c r="E178" s="2"/>
      <c r="G178" s="4"/>
    </row>
    <row r="179" spans="2:7" ht="12.75" customHeight="1" x14ac:dyDescent="0.25">
      <c r="B179" s="2"/>
      <c r="D179" s="56"/>
      <c r="E179" s="2"/>
      <c r="G179" s="4"/>
    </row>
    <row r="180" spans="2:7" ht="12.75" customHeight="1" x14ac:dyDescent="0.25">
      <c r="B180" s="2"/>
      <c r="D180" s="56"/>
      <c r="E180" s="2"/>
      <c r="G180" s="4"/>
    </row>
    <row r="181" spans="2:7" ht="12.75" customHeight="1" x14ac:dyDescent="0.25">
      <c r="B181" s="2"/>
      <c r="D181" s="56"/>
      <c r="E181" s="2"/>
      <c r="G181" s="4"/>
    </row>
    <row r="182" spans="2:7" ht="12.75" customHeight="1" x14ac:dyDescent="0.25">
      <c r="B182" s="2"/>
      <c r="D182" s="56"/>
      <c r="E182" s="2"/>
      <c r="G182" s="4"/>
    </row>
    <row r="183" spans="2:7" ht="12.75" customHeight="1" x14ac:dyDescent="0.25">
      <c r="B183" s="2"/>
      <c r="D183" s="56"/>
      <c r="E183" s="2"/>
      <c r="G183" s="4"/>
    </row>
    <row r="184" spans="2:7" ht="12.75" customHeight="1" x14ac:dyDescent="0.25">
      <c r="B184" s="2"/>
      <c r="D184" s="56"/>
      <c r="E184" s="2"/>
      <c r="G184" s="4"/>
    </row>
    <row r="185" spans="2:7" ht="12.75" customHeight="1" x14ac:dyDescent="0.25">
      <c r="B185" s="2"/>
      <c r="D185" s="56"/>
      <c r="E185" s="2"/>
      <c r="G185" s="4"/>
    </row>
    <row r="186" spans="2:7" ht="12.75" customHeight="1" x14ac:dyDescent="0.25">
      <c r="B186" s="2"/>
      <c r="D186" s="56"/>
      <c r="E186" s="2"/>
      <c r="G186" s="4"/>
    </row>
    <row r="187" spans="2:7" ht="12.75" customHeight="1" x14ac:dyDescent="0.25">
      <c r="B187" s="2"/>
      <c r="D187" s="56"/>
      <c r="E187" s="2"/>
      <c r="G187" s="4"/>
    </row>
    <row r="188" spans="2:7" ht="12.75" customHeight="1" x14ac:dyDescent="0.25">
      <c r="B188" s="2"/>
      <c r="D188" s="56"/>
      <c r="E188" s="2"/>
      <c r="G188" s="4"/>
    </row>
    <row r="189" spans="2:7" ht="12.75" customHeight="1" x14ac:dyDescent="0.25">
      <c r="B189" s="2"/>
      <c r="D189" s="56"/>
      <c r="E189" s="2"/>
      <c r="G189" s="4"/>
    </row>
    <row r="190" spans="2:7" ht="12.75" customHeight="1" x14ac:dyDescent="0.25">
      <c r="B190" s="2"/>
      <c r="D190" s="56"/>
      <c r="E190" s="2"/>
      <c r="G190" s="4"/>
    </row>
    <row r="191" spans="2:7" ht="12.75" customHeight="1" x14ac:dyDescent="0.25">
      <c r="B191" s="2"/>
      <c r="D191" s="56"/>
      <c r="E191" s="2"/>
      <c r="G191" s="4"/>
    </row>
    <row r="192" spans="2:7" ht="12.75" customHeight="1" x14ac:dyDescent="0.25">
      <c r="B192" s="2"/>
      <c r="D192" s="56"/>
      <c r="E192" s="2"/>
      <c r="G192" s="4"/>
    </row>
    <row r="193" spans="2:7" ht="12.75" customHeight="1" x14ac:dyDescent="0.25">
      <c r="B193" s="2"/>
      <c r="D193" s="56"/>
      <c r="E193" s="2"/>
      <c r="G193" s="4"/>
    </row>
    <row r="194" spans="2:7" ht="12.75" customHeight="1" x14ac:dyDescent="0.25">
      <c r="B194" s="2"/>
      <c r="D194" s="56"/>
      <c r="E194" s="2"/>
      <c r="G194" s="4"/>
    </row>
    <row r="195" spans="2:7" ht="12.75" customHeight="1" x14ac:dyDescent="0.25">
      <c r="B195" s="2"/>
      <c r="D195" s="56"/>
      <c r="E195" s="2"/>
      <c r="G195" s="4"/>
    </row>
    <row r="196" spans="2:7" ht="12.75" customHeight="1" x14ac:dyDescent="0.25">
      <c r="B196" s="2"/>
      <c r="D196" s="56"/>
      <c r="E196" s="2"/>
      <c r="G196" s="4"/>
    </row>
    <row r="197" spans="2:7" ht="12.75" customHeight="1" x14ac:dyDescent="0.25">
      <c r="B197" s="2"/>
      <c r="D197" s="56"/>
      <c r="E197" s="2"/>
      <c r="G197" s="4"/>
    </row>
    <row r="198" spans="2:7" ht="12.75" customHeight="1" x14ac:dyDescent="0.25">
      <c r="B198" s="2"/>
      <c r="D198" s="56"/>
      <c r="E198" s="2"/>
      <c r="G198" s="4"/>
    </row>
    <row r="199" spans="2:7" ht="12.75" customHeight="1" x14ac:dyDescent="0.25">
      <c r="B199" s="2"/>
      <c r="D199" s="56"/>
      <c r="E199" s="2"/>
      <c r="G199" s="4"/>
    </row>
    <row r="200" spans="2:7" ht="12.75" customHeight="1" x14ac:dyDescent="0.25">
      <c r="B200" s="2"/>
      <c r="D200" s="56"/>
      <c r="E200" s="2"/>
      <c r="G200" s="4"/>
    </row>
    <row r="201" spans="2:7" ht="12.75" customHeight="1" x14ac:dyDescent="0.25">
      <c r="B201" s="2"/>
      <c r="D201" s="56"/>
      <c r="E201" s="2"/>
      <c r="G201" s="4"/>
    </row>
    <row r="202" spans="2:7" ht="12.75" customHeight="1" x14ac:dyDescent="0.25">
      <c r="B202" s="2"/>
      <c r="D202" s="56"/>
      <c r="E202" s="2"/>
      <c r="G202" s="4"/>
    </row>
    <row r="203" spans="2:7" ht="12.75" customHeight="1" x14ac:dyDescent="0.25">
      <c r="B203" s="2"/>
      <c r="D203" s="56"/>
      <c r="E203" s="2"/>
      <c r="G203" s="4"/>
    </row>
    <row r="204" spans="2:7" ht="12.75" customHeight="1" x14ac:dyDescent="0.25">
      <c r="B204" s="2"/>
      <c r="D204" s="56"/>
      <c r="E204" s="2"/>
      <c r="G204" s="4"/>
    </row>
    <row r="205" spans="2:7" ht="12.75" customHeight="1" x14ac:dyDescent="0.25">
      <c r="B205" s="2"/>
      <c r="D205" s="56"/>
      <c r="E205" s="2"/>
      <c r="G205" s="4"/>
    </row>
    <row r="206" spans="2:7" ht="12.75" customHeight="1" x14ac:dyDescent="0.25">
      <c r="B206" s="2"/>
      <c r="D206" s="56"/>
      <c r="E206" s="2"/>
      <c r="G206" s="4"/>
    </row>
    <row r="207" spans="2:7" ht="12.75" customHeight="1" x14ac:dyDescent="0.25">
      <c r="B207" s="2"/>
      <c r="D207" s="56"/>
      <c r="E207" s="2"/>
      <c r="G207" s="4"/>
    </row>
    <row r="208" spans="2:7" ht="12.75" customHeight="1" x14ac:dyDescent="0.25">
      <c r="B208" s="2"/>
      <c r="D208" s="56"/>
      <c r="E208" s="2"/>
      <c r="G208" s="4"/>
    </row>
    <row r="209" spans="2:7" ht="12.75" customHeight="1" x14ac:dyDescent="0.25">
      <c r="B209" s="2"/>
      <c r="D209" s="56"/>
      <c r="E209" s="2"/>
      <c r="G209" s="4"/>
    </row>
    <row r="210" spans="2:7" ht="12.75" customHeight="1" x14ac:dyDescent="0.25">
      <c r="B210" s="2"/>
      <c r="D210" s="56"/>
      <c r="E210" s="2"/>
      <c r="G210" s="4"/>
    </row>
    <row r="211" spans="2:7" ht="12.75" customHeight="1" x14ac:dyDescent="0.25">
      <c r="B211" s="2"/>
      <c r="D211" s="56"/>
      <c r="E211" s="2"/>
      <c r="G211" s="4"/>
    </row>
    <row r="212" spans="2:7" ht="12.75" customHeight="1" x14ac:dyDescent="0.25">
      <c r="B212" s="2"/>
      <c r="D212" s="56"/>
      <c r="E212" s="2"/>
      <c r="G212" s="4"/>
    </row>
    <row r="213" spans="2:7" ht="12.75" customHeight="1" x14ac:dyDescent="0.25">
      <c r="B213" s="2"/>
      <c r="D213" s="56"/>
      <c r="E213" s="2"/>
      <c r="G213" s="4"/>
    </row>
    <row r="214" spans="2:7" ht="12.75" customHeight="1" x14ac:dyDescent="0.25">
      <c r="B214" s="2"/>
      <c r="D214" s="56"/>
      <c r="E214" s="2"/>
      <c r="G214" s="4"/>
    </row>
    <row r="215" spans="2:7" ht="12.75" customHeight="1" x14ac:dyDescent="0.25">
      <c r="B215" s="2"/>
      <c r="D215" s="56"/>
      <c r="E215" s="2"/>
      <c r="G215" s="4"/>
    </row>
    <row r="216" spans="2:7" ht="12.75" customHeight="1" x14ac:dyDescent="0.25">
      <c r="B216" s="2"/>
      <c r="D216" s="56"/>
      <c r="E216" s="2"/>
      <c r="G216" s="4"/>
    </row>
    <row r="217" spans="2:7" ht="12.75" customHeight="1" x14ac:dyDescent="0.25">
      <c r="B217" s="2"/>
      <c r="D217" s="56"/>
      <c r="E217" s="2"/>
      <c r="G217" s="4"/>
    </row>
    <row r="218" spans="2:7" ht="12.75" customHeight="1" x14ac:dyDescent="0.25">
      <c r="B218" s="2"/>
      <c r="D218" s="56"/>
      <c r="E218" s="2"/>
      <c r="G218" s="4"/>
    </row>
    <row r="219" spans="2:7" ht="12.75" customHeight="1" x14ac:dyDescent="0.25">
      <c r="B219" s="2"/>
      <c r="D219" s="56"/>
      <c r="E219" s="2"/>
      <c r="G219" s="4"/>
    </row>
    <row r="220" spans="2:7" ht="12.75" customHeight="1" x14ac:dyDescent="0.25">
      <c r="B220" s="2"/>
      <c r="D220" s="56"/>
      <c r="E220" s="2"/>
      <c r="G220" s="4"/>
    </row>
    <row r="221" spans="2:7" ht="12.75" customHeight="1" x14ac:dyDescent="0.25">
      <c r="B221" s="2"/>
      <c r="D221" s="56"/>
      <c r="E221" s="2"/>
      <c r="G221" s="4"/>
    </row>
    <row r="222" spans="2:7" ht="12.75" customHeight="1" x14ac:dyDescent="0.25">
      <c r="B222" s="2"/>
      <c r="D222" s="56"/>
      <c r="E222" s="2"/>
      <c r="G222" s="4"/>
    </row>
    <row r="223" spans="2:7" ht="12.75" customHeight="1" x14ac:dyDescent="0.25">
      <c r="B223" s="2"/>
      <c r="D223" s="56"/>
      <c r="E223" s="2"/>
      <c r="G223" s="4"/>
    </row>
    <row r="224" spans="2:7" ht="12.75" customHeight="1" x14ac:dyDescent="0.25">
      <c r="B224" s="2"/>
      <c r="D224" s="56"/>
      <c r="E224" s="2"/>
      <c r="G224" s="4"/>
    </row>
    <row r="225" spans="2:7" ht="12.75" customHeight="1" x14ac:dyDescent="0.25">
      <c r="B225" s="2"/>
      <c r="D225" s="56"/>
      <c r="E225" s="2"/>
      <c r="G225" s="4"/>
    </row>
    <row r="226" spans="2:7" ht="12.75" customHeight="1" x14ac:dyDescent="0.25">
      <c r="B226" s="2"/>
      <c r="D226" s="56"/>
      <c r="E226" s="2"/>
      <c r="G226" s="4"/>
    </row>
    <row r="227" spans="2:7" ht="12.75" customHeight="1" x14ac:dyDescent="0.25">
      <c r="B227" s="2"/>
      <c r="D227" s="56"/>
      <c r="E227" s="2"/>
      <c r="G227" s="4"/>
    </row>
    <row r="228" spans="2:7" ht="12.75" customHeight="1" x14ac:dyDescent="0.25">
      <c r="B228" s="2"/>
      <c r="D228" s="56"/>
      <c r="E228" s="2"/>
      <c r="G228" s="4"/>
    </row>
    <row r="229" spans="2:7" ht="12.75" customHeight="1" x14ac:dyDescent="0.25">
      <c r="B229" s="2"/>
      <c r="D229" s="56"/>
      <c r="E229" s="2"/>
      <c r="G229" s="4"/>
    </row>
    <row r="230" spans="2:7" ht="12.75" customHeight="1" x14ac:dyDescent="0.25">
      <c r="B230" s="2"/>
      <c r="D230" s="56"/>
      <c r="E230" s="2"/>
      <c r="G230" s="4"/>
    </row>
    <row r="231" spans="2:7" ht="12.75" customHeight="1" x14ac:dyDescent="0.25">
      <c r="B231" s="2"/>
      <c r="D231" s="56"/>
      <c r="E231" s="2"/>
      <c r="G231" s="4"/>
    </row>
    <row r="232" spans="2:7" ht="12.75" customHeight="1" x14ac:dyDescent="0.25">
      <c r="B232" s="2"/>
      <c r="D232" s="56"/>
      <c r="E232" s="2"/>
      <c r="G232" s="4"/>
    </row>
    <row r="233" spans="2:7" ht="12.75" customHeight="1" x14ac:dyDescent="0.25">
      <c r="B233" s="2"/>
      <c r="D233" s="56"/>
      <c r="E233" s="2"/>
      <c r="G233" s="4"/>
    </row>
    <row r="234" spans="2:7" ht="12.75" customHeight="1" x14ac:dyDescent="0.25">
      <c r="B234" s="2"/>
      <c r="D234" s="56"/>
      <c r="E234" s="2"/>
      <c r="G234" s="4"/>
    </row>
    <row r="235" spans="2:7" ht="12.75" customHeight="1" x14ac:dyDescent="0.25">
      <c r="B235" s="2"/>
      <c r="D235" s="56"/>
      <c r="E235" s="2"/>
      <c r="G235" s="4"/>
    </row>
    <row r="236" spans="2:7" ht="12.75" customHeight="1" x14ac:dyDescent="0.25">
      <c r="B236" s="2"/>
      <c r="D236" s="56"/>
      <c r="E236" s="2"/>
      <c r="G236" s="4"/>
    </row>
    <row r="237" spans="2:7" ht="12.75" customHeight="1" x14ac:dyDescent="0.25">
      <c r="B237" s="2"/>
      <c r="D237" s="56"/>
      <c r="E237" s="2"/>
      <c r="G237" s="4"/>
    </row>
    <row r="238" spans="2:7" ht="12.75" customHeight="1" x14ac:dyDescent="0.25">
      <c r="B238" s="2"/>
      <c r="D238" s="56"/>
      <c r="E238" s="2"/>
      <c r="G238" s="4"/>
    </row>
    <row r="239" spans="2:7" ht="12.75" customHeight="1" x14ac:dyDescent="0.25">
      <c r="B239" s="2"/>
      <c r="D239" s="56"/>
      <c r="E239" s="2"/>
      <c r="G239" s="4"/>
    </row>
    <row r="240" spans="2:7" ht="12.75" customHeight="1" x14ac:dyDescent="0.25">
      <c r="B240" s="2"/>
      <c r="D240" s="56"/>
      <c r="E240" s="2"/>
      <c r="G240" s="4"/>
    </row>
    <row r="241" spans="2:7" ht="12.75" customHeight="1" x14ac:dyDescent="0.25">
      <c r="B241" s="2"/>
      <c r="D241" s="56"/>
      <c r="E241" s="2"/>
      <c r="G241" s="4"/>
    </row>
    <row r="242" spans="2:7" ht="12.75" customHeight="1" x14ac:dyDescent="0.25">
      <c r="B242" s="2"/>
      <c r="D242" s="56"/>
      <c r="E242" s="2"/>
      <c r="G242" s="4"/>
    </row>
    <row r="243" spans="2:7" ht="12.75" customHeight="1" x14ac:dyDescent="0.25">
      <c r="B243" s="2"/>
      <c r="D243" s="56"/>
      <c r="E243" s="2"/>
      <c r="G243" s="4"/>
    </row>
    <row r="244" spans="2:7" ht="12.75" customHeight="1" x14ac:dyDescent="0.25">
      <c r="B244" s="2"/>
      <c r="D244" s="56"/>
      <c r="E244" s="2"/>
      <c r="G244" s="4"/>
    </row>
    <row r="245" spans="2:7" ht="12.75" customHeight="1" x14ac:dyDescent="0.25">
      <c r="B245" s="2"/>
      <c r="D245" s="56"/>
      <c r="E245" s="2"/>
      <c r="G245" s="4"/>
    </row>
    <row r="246" spans="2:7" ht="12.75" customHeight="1" x14ac:dyDescent="0.25">
      <c r="B246" s="2"/>
      <c r="D246" s="56"/>
      <c r="E246" s="2"/>
      <c r="G246" s="4"/>
    </row>
    <row r="247" spans="2:7" ht="12.75" customHeight="1" x14ac:dyDescent="0.25">
      <c r="B247" s="2"/>
      <c r="D247" s="56"/>
      <c r="E247" s="2"/>
      <c r="G247" s="4"/>
    </row>
    <row r="248" spans="2:7" ht="12.75" customHeight="1" x14ac:dyDescent="0.25">
      <c r="B248" s="2"/>
      <c r="D248" s="56"/>
      <c r="E248" s="2"/>
      <c r="G248" s="4"/>
    </row>
    <row r="249" spans="2:7" ht="12.75" customHeight="1" x14ac:dyDescent="0.25">
      <c r="B249" s="2"/>
      <c r="D249" s="56"/>
      <c r="E249" s="2"/>
      <c r="G249" s="4"/>
    </row>
    <row r="250" spans="2:7" ht="12.75" customHeight="1" x14ac:dyDescent="0.25">
      <c r="B250" s="2"/>
      <c r="D250" s="56"/>
      <c r="E250" s="2"/>
      <c r="G250" s="4"/>
    </row>
    <row r="251" spans="2:7" ht="12.75" customHeight="1" x14ac:dyDescent="0.25">
      <c r="B251" s="2"/>
      <c r="D251" s="56"/>
      <c r="E251" s="2"/>
      <c r="G251" s="4"/>
    </row>
    <row r="252" spans="2:7" ht="12.75" customHeight="1" x14ac:dyDescent="0.25">
      <c r="B252" s="2"/>
      <c r="D252" s="56"/>
      <c r="E252" s="2"/>
      <c r="G252" s="4"/>
    </row>
    <row r="253" spans="2:7" ht="12.75" customHeight="1" x14ac:dyDescent="0.25">
      <c r="B253" s="2"/>
      <c r="D253" s="56"/>
      <c r="E253" s="2"/>
      <c r="G253" s="4"/>
    </row>
    <row r="254" spans="2:7" ht="12.75" customHeight="1" x14ac:dyDescent="0.25">
      <c r="B254" s="2"/>
      <c r="D254" s="56"/>
      <c r="E254" s="2"/>
      <c r="G254" s="4"/>
    </row>
    <row r="255" spans="2:7" ht="12.75" customHeight="1" x14ac:dyDescent="0.25">
      <c r="B255" s="2"/>
      <c r="D255" s="56"/>
      <c r="E255" s="2"/>
      <c r="G255" s="4"/>
    </row>
    <row r="256" spans="2:7" ht="12.75" customHeight="1" x14ac:dyDescent="0.25">
      <c r="B256" s="2"/>
      <c r="D256" s="56"/>
      <c r="E256" s="2"/>
      <c r="G256" s="4"/>
    </row>
    <row r="257" spans="2:7" ht="12.75" customHeight="1" x14ac:dyDescent="0.25">
      <c r="B257" s="2"/>
      <c r="D257" s="56"/>
      <c r="E257" s="2"/>
      <c r="G257" s="4"/>
    </row>
    <row r="258" spans="2:7" ht="12.75" customHeight="1" x14ac:dyDescent="0.25">
      <c r="B258" s="2"/>
      <c r="D258" s="56"/>
      <c r="E258" s="2"/>
      <c r="G258" s="4"/>
    </row>
    <row r="259" spans="2:7" ht="12.75" customHeight="1" x14ac:dyDescent="0.25">
      <c r="B259" s="2"/>
      <c r="D259" s="56"/>
      <c r="E259" s="2"/>
      <c r="G259" s="4"/>
    </row>
    <row r="260" spans="2:7" ht="12.75" customHeight="1" x14ac:dyDescent="0.25">
      <c r="B260" s="2"/>
      <c r="D260" s="56"/>
      <c r="E260" s="2"/>
      <c r="G260" s="4"/>
    </row>
    <row r="261" spans="2:7" ht="12.75" customHeight="1" x14ac:dyDescent="0.25">
      <c r="B261" s="2"/>
      <c r="D261" s="56"/>
      <c r="E261" s="2"/>
      <c r="G261" s="4"/>
    </row>
    <row r="262" spans="2:7" ht="12.75" customHeight="1" x14ac:dyDescent="0.25">
      <c r="B262" s="2"/>
      <c r="D262" s="56"/>
      <c r="E262" s="2"/>
      <c r="G262" s="4"/>
    </row>
    <row r="263" spans="2:7" ht="12.75" customHeight="1" x14ac:dyDescent="0.25">
      <c r="B263" s="2"/>
      <c r="D263" s="56"/>
      <c r="E263" s="2"/>
      <c r="G263" s="4"/>
    </row>
    <row r="264" spans="2:7" ht="12.75" customHeight="1" x14ac:dyDescent="0.25">
      <c r="B264" s="2"/>
      <c r="D264" s="56"/>
      <c r="E264" s="2"/>
      <c r="G264" s="4"/>
    </row>
    <row r="265" spans="2:7" ht="12.75" customHeight="1" x14ac:dyDescent="0.25">
      <c r="B265" s="2"/>
      <c r="D265" s="56"/>
      <c r="E265" s="2"/>
      <c r="G265" s="4"/>
    </row>
    <row r="266" spans="2:7" ht="12.75" customHeight="1" x14ac:dyDescent="0.25">
      <c r="B266" s="2"/>
      <c r="D266" s="56"/>
      <c r="E266" s="2"/>
      <c r="G266" s="4"/>
    </row>
    <row r="267" spans="2:7" ht="12.75" customHeight="1" x14ac:dyDescent="0.25">
      <c r="B267" s="2"/>
      <c r="D267" s="56"/>
      <c r="E267" s="2"/>
      <c r="G267" s="4"/>
    </row>
    <row r="268" spans="2:7" ht="12.75" customHeight="1" x14ac:dyDescent="0.25">
      <c r="B268" s="2"/>
      <c r="D268" s="56"/>
      <c r="E268" s="2"/>
      <c r="G268" s="4"/>
    </row>
    <row r="269" spans="2:7" ht="12.75" customHeight="1" x14ac:dyDescent="0.25">
      <c r="B269" s="2"/>
      <c r="D269" s="56"/>
      <c r="E269" s="2"/>
      <c r="G269" s="4"/>
    </row>
    <row r="270" spans="2:7" ht="12.75" customHeight="1" x14ac:dyDescent="0.25">
      <c r="B270" s="2"/>
      <c r="D270" s="56"/>
      <c r="E270" s="2"/>
      <c r="G270" s="4"/>
    </row>
    <row r="271" spans="2:7" ht="12.75" customHeight="1" x14ac:dyDescent="0.25">
      <c r="B271" s="2"/>
      <c r="D271" s="56"/>
      <c r="E271" s="2"/>
      <c r="G271" s="4"/>
    </row>
    <row r="272" spans="2:7" ht="12.75" customHeight="1" x14ac:dyDescent="0.25">
      <c r="B272" s="2"/>
      <c r="D272" s="56"/>
      <c r="E272" s="2"/>
      <c r="G272" s="4"/>
    </row>
    <row r="273" spans="2:7" ht="12.75" customHeight="1" x14ac:dyDescent="0.25">
      <c r="B273" s="2"/>
      <c r="D273" s="56"/>
      <c r="E273" s="2"/>
      <c r="G273" s="4"/>
    </row>
    <row r="274" spans="2:7" ht="12.75" customHeight="1" x14ac:dyDescent="0.25">
      <c r="B274" s="2"/>
      <c r="D274" s="56"/>
      <c r="E274" s="2"/>
      <c r="G274" s="4"/>
    </row>
    <row r="275" spans="2:7" ht="12.75" customHeight="1" x14ac:dyDescent="0.25">
      <c r="B275" s="2"/>
      <c r="D275" s="56"/>
      <c r="E275" s="2"/>
      <c r="G275" s="4"/>
    </row>
    <row r="276" spans="2:7" ht="12.75" customHeight="1" x14ac:dyDescent="0.25">
      <c r="B276" s="2"/>
      <c r="D276" s="56"/>
      <c r="E276" s="2"/>
      <c r="G276" s="4"/>
    </row>
    <row r="277" spans="2:7" ht="12.75" customHeight="1" x14ac:dyDescent="0.25">
      <c r="B277" s="2"/>
      <c r="D277" s="56"/>
      <c r="E277" s="2"/>
      <c r="G277" s="4"/>
    </row>
    <row r="278" spans="2:7" ht="12.75" customHeight="1" x14ac:dyDescent="0.25">
      <c r="B278" s="2"/>
      <c r="D278" s="56"/>
      <c r="E278" s="2"/>
      <c r="G278" s="4"/>
    </row>
    <row r="279" spans="2:7" ht="12.75" customHeight="1" x14ac:dyDescent="0.25">
      <c r="B279" s="2"/>
      <c r="D279" s="56"/>
      <c r="E279" s="2"/>
      <c r="G279" s="4"/>
    </row>
    <row r="280" spans="2:7" ht="12.75" customHeight="1" x14ac:dyDescent="0.25">
      <c r="B280" s="2"/>
      <c r="D280" s="56"/>
      <c r="E280" s="2"/>
      <c r="G280" s="4"/>
    </row>
    <row r="281" spans="2:7" ht="12.75" customHeight="1" x14ac:dyDescent="0.25">
      <c r="B281" s="2"/>
      <c r="D281" s="56"/>
      <c r="E281" s="2"/>
      <c r="G281" s="4"/>
    </row>
    <row r="282" spans="2:7" ht="12.75" customHeight="1" x14ac:dyDescent="0.25">
      <c r="B282" s="2"/>
      <c r="D282" s="56"/>
      <c r="E282" s="2"/>
      <c r="G282" s="4"/>
    </row>
    <row r="283" spans="2:7" ht="12.75" customHeight="1" x14ac:dyDescent="0.25">
      <c r="B283" s="2"/>
      <c r="D283" s="56"/>
      <c r="E283" s="2"/>
      <c r="G283" s="4"/>
    </row>
    <row r="284" spans="2:7" ht="12.75" customHeight="1" x14ac:dyDescent="0.25">
      <c r="B284" s="2"/>
      <c r="D284" s="56"/>
      <c r="E284" s="2"/>
      <c r="G284" s="4"/>
    </row>
    <row r="285" spans="2:7" ht="12.75" customHeight="1" x14ac:dyDescent="0.25">
      <c r="B285" s="2"/>
      <c r="D285" s="56"/>
      <c r="E285" s="2"/>
      <c r="G285" s="4"/>
    </row>
    <row r="286" spans="2:7" ht="12.75" customHeight="1" x14ac:dyDescent="0.25">
      <c r="B286" s="2"/>
      <c r="D286" s="56"/>
      <c r="E286" s="2"/>
      <c r="G286" s="4"/>
    </row>
    <row r="287" spans="2:7" ht="12.75" customHeight="1" x14ac:dyDescent="0.25">
      <c r="B287" s="2"/>
      <c r="D287" s="56"/>
      <c r="E287" s="2"/>
      <c r="G287" s="4"/>
    </row>
    <row r="288" spans="2:7" ht="12.75" customHeight="1" x14ac:dyDescent="0.25">
      <c r="B288" s="2"/>
      <c r="D288" s="56"/>
      <c r="E288" s="2"/>
      <c r="G288" s="4"/>
    </row>
    <row r="289" spans="2:7" ht="12.75" customHeight="1" x14ac:dyDescent="0.25">
      <c r="B289" s="2"/>
      <c r="D289" s="56"/>
      <c r="E289" s="2"/>
      <c r="G289" s="4"/>
    </row>
    <row r="290" spans="2:7" ht="12.75" customHeight="1" x14ac:dyDescent="0.25">
      <c r="B290" s="2"/>
      <c r="D290" s="56"/>
      <c r="E290" s="2"/>
      <c r="G290" s="4"/>
    </row>
    <row r="291" spans="2:7" ht="12.75" customHeight="1" x14ac:dyDescent="0.25">
      <c r="B291" s="2"/>
      <c r="D291" s="56"/>
      <c r="E291" s="2"/>
      <c r="G291" s="4"/>
    </row>
    <row r="292" spans="2:7" ht="12.75" customHeight="1" x14ac:dyDescent="0.25">
      <c r="B292" s="2"/>
      <c r="D292" s="56"/>
      <c r="E292" s="2"/>
      <c r="G292" s="4"/>
    </row>
    <row r="293" spans="2:7" ht="12.75" customHeight="1" x14ac:dyDescent="0.25">
      <c r="B293" s="2"/>
      <c r="D293" s="56"/>
      <c r="E293" s="2"/>
      <c r="G293" s="4"/>
    </row>
    <row r="294" spans="2:7" ht="12.75" customHeight="1" x14ac:dyDescent="0.25">
      <c r="B294" s="2"/>
      <c r="C294" s="2"/>
      <c r="E294" s="2"/>
      <c r="G294" s="4"/>
    </row>
    <row r="295" spans="2:7" ht="12.75" customHeight="1" x14ac:dyDescent="0.25">
      <c r="B295" s="2"/>
      <c r="C295" s="2"/>
      <c r="E295" s="2"/>
      <c r="G295" s="4"/>
    </row>
    <row r="296" spans="2:7" ht="12.75" customHeight="1" x14ac:dyDescent="0.25">
      <c r="B296" s="2"/>
      <c r="C296" s="2"/>
      <c r="E296" s="2"/>
      <c r="G296" s="4"/>
    </row>
    <row r="297" spans="2:7" ht="12.75" customHeight="1" x14ac:dyDescent="0.25">
      <c r="B297" s="2"/>
      <c r="C297" s="2"/>
      <c r="E297" s="2"/>
      <c r="G297" s="4"/>
    </row>
    <row r="298" spans="2:7" ht="12.75" customHeight="1" x14ac:dyDescent="0.25">
      <c r="B298" s="2"/>
      <c r="C298" s="2"/>
      <c r="E298" s="2"/>
      <c r="G298" s="4"/>
    </row>
    <row r="299" spans="2:7" ht="12.75" customHeight="1" x14ac:dyDescent="0.25">
      <c r="B299" s="2"/>
      <c r="C299" s="2"/>
      <c r="E299" s="2"/>
      <c r="G299" s="4"/>
    </row>
    <row r="300" spans="2:7" ht="12.75" customHeight="1" x14ac:dyDescent="0.25">
      <c r="B300" s="2"/>
      <c r="C300" s="2"/>
      <c r="E300" s="2"/>
      <c r="G300" s="4"/>
    </row>
    <row r="301" spans="2:7" ht="12.75" customHeight="1" x14ac:dyDescent="0.25">
      <c r="B301" s="2"/>
      <c r="C301" s="2"/>
      <c r="E301" s="2"/>
      <c r="G301" s="4"/>
    </row>
    <row r="302" spans="2:7" ht="12.75" customHeight="1" x14ac:dyDescent="0.25">
      <c r="B302" s="2"/>
      <c r="C302" s="2"/>
      <c r="E302" s="2"/>
      <c r="G302" s="4"/>
    </row>
    <row r="303" spans="2:7" ht="12.75" customHeight="1" x14ac:dyDescent="0.25">
      <c r="B303" s="2"/>
      <c r="C303" s="2"/>
      <c r="E303" s="2"/>
      <c r="G303" s="4"/>
    </row>
    <row r="304" spans="2:7" ht="12.75" customHeight="1" x14ac:dyDescent="0.25">
      <c r="B304" s="2"/>
      <c r="C304" s="2"/>
      <c r="E304" s="2"/>
      <c r="G304" s="4"/>
    </row>
    <row r="305" spans="2:7" ht="12.75" customHeight="1" x14ac:dyDescent="0.25">
      <c r="B305" s="2"/>
      <c r="C305" s="2"/>
      <c r="E305" s="2"/>
      <c r="G305" s="4"/>
    </row>
    <row r="306" spans="2:7" ht="12.75" customHeight="1" x14ac:dyDescent="0.25">
      <c r="B306" s="2"/>
      <c r="C306" s="2"/>
      <c r="E306" s="2"/>
      <c r="G306" s="4"/>
    </row>
    <row r="307" spans="2:7" ht="12.75" customHeight="1" x14ac:dyDescent="0.25">
      <c r="B307" s="2"/>
      <c r="C307" s="2"/>
      <c r="E307" s="2"/>
      <c r="G307" s="4"/>
    </row>
    <row r="308" spans="2:7" ht="12.75" customHeight="1" x14ac:dyDescent="0.25">
      <c r="B308" s="2"/>
      <c r="C308" s="2"/>
      <c r="E308" s="2"/>
      <c r="G308" s="4"/>
    </row>
    <row r="309" spans="2:7" ht="12.75" customHeight="1" x14ac:dyDescent="0.25">
      <c r="B309" s="2"/>
      <c r="C309" s="2"/>
      <c r="E309" s="2"/>
      <c r="G309" s="4"/>
    </row>
    <row r="310" spans="2:7" ht="12.75" customHeight="1" x14ac:dyDescent="0.25">
      <c r="B310" s="2"/>
      <c r="C310" s="2"/>
      <c r="E310" s="2"/>
      <c r="G310" s="4"/>
    </row>
    <row r="311" spans="2:7" ht="12.75" customHeight="1" x14ac:dyDescent="0.25">
      <c r="B311" s="2"/>
      <c r="C311" s="2"/>
      <c r="E311" s="2"/>
      <c r="G311" s="4"/>
    </row>
    <row r="312" spans="2:7" ht="12.75" customHeight="1" x14ac:dyDescent="0.25">
      <c r="B312" s="2"/>
      <c r="C312" s="2"/>
      <c r="E312" s="2"/>
      <c r="G312" s="4"/>
    </row>
    <row r="313" spans="2:7" ht="12.75" customHeight="1" x14ac:dyDescent="0.25">
      <c r="B313" s="2"/>
      <c r="C313" s="2"/>
      <c r="E313" s="2"/>
      <c r="G313" s="4"/>
    </row>
    <row r="314" spans="2:7" ht="12.75" customHeight="1" x14ac:dyDescent="0.25">
      <c r="B314" s="2"/>
      <c r="C314" s="2"/>
      <c r="E314" s="2"/>
      <c r="G314" s="4"/>
    </row>
    <row r="315" spans="2:7" ht="12.75" customHeight="1" x14ac:dyDescent="0.25">
      <c r="B315" s="2"/>
      <c r="C315" s="2"/>
      <c r="E315" s="2"/>
      <c r="G315" s="4"/>
    </row>
    <row r="316" spans="2:7" ht="12.75" customHeight="1" x14ac:dyDescent="0.25">
      <c r="B316" s="2"/>
      <c r="C316" s="2"/>
      <c r="E316" s="2"/>
      <c r="G316" s="4"/>
    </row>
    <row r="317" spans="2:7" ht="12.75" customHeight="1" x14ac:dyDescent="0.25">
      <c r="B317" s="2"/>
      <c r="C317" s="2"/>
      <c r="E317" s="2"/>
      <c r="G317" s="4"/>
    </row>
    <row r="318" spans="2:7" ht="12.75" customHeight="1" x14ac:dyDescent="0.25">
      <c r="B318" s="2"/>
      <c r="C318" s="2"/>
      <c r="E318" s="2"/>
      <c r="G318" s="4"/>
    </row>
    <row r="319" spans="2:7" ht="12.75" customHeight="1" x14ac:dyDescent="0.25">
      <c r="B319" s="2"/>
      <c r="C319" s="2"/>
      <c r="E319" s="2"/>
      <c r="G319" s="4"/>
    </row>
    <row r="320" spans="2:7" ht="12.75" customHeight="1" x14ac:dyDescent="0.25">
      <c r="B320" s="2"/>
      <c r="C320" s="2"/>
      <c r="E320" s="2"/>
      <c r="G320" s="4"/>
    </row>
    <row r="321" spans="2:7" ht="12.75" customHeight="1" x14ac:dyDescent="0.25">
      <c r="B321" s="2"/>
      <c r="C321" s="2"/>
      <c r="E321" s="2"/>
      <c r="G321" s="4"/>
    </row>
    <row r="322" spans="2:7" ht="12.75" customHeight="1" x14ac:dyDescent="0.25">
      <c r="B322" s="2"/>
      <c r="C322" s="2"/>
      <c r="E322" s="2"/>
      <c r="G322" s="4"/>
    </row>
    <row r="323" spans="2:7" ht="12.75" customHeight="1" x14ac:dyDescent="0.25">
      <c r="B323" s="2"/>
      <c r="C323" s="2"/>
      <c r="E323" s="2"/>
      <c r="G323" s="4"/>
    </row>
    <row r="324" spans="2:7" ht="12.75" customHeight="1" x14ac:dyDescent="0.25">
      <c r="B324" s="2"/>
      <c r="C324" s="2"/>
      <c r="E324" s="2"/>
      <c r="G324" s="4"/>
    </row>
    <row r="325" spans="2:7" ht="12.75" customHeight="1" x14ac:dyDescent="0.25">
      <c r="B325" s="2"/>
      <c r="C325" s="2"/>
      <c r="E325" s="2"/>
      <c r="G325" s="4"/>
    </row>
    <row r="326" spans="2:7" ht="12.75" customHeight="1" x14ac:dyDescent="0.25">
      <c r="B326" s="2"/>
      <c r="C326" s="2"/>
      <c r="E326" s="2"/>
      <c r="G326" s="4"/>
    </row>
    <row r="327" spans="2:7" ht="12.75" customHeight="1" x14ac:dyDescent="0.25">
      <c r="B327" s="2"/>
      <c r="C327" s="2"/>
      <c r="E327" s="2"/>
      <c r="G327" s="4"/>
    </row>
    <row r="328" spans="2:7" ht="12.75" customHeight="1" x14ac:dyDescent="0.25">
      <c r="B328" s="2"/>
      <c r="C328" s="2"/>
      <c r="E328" s="2"/>
      <c r="G328" s="4"/>
    </row>
    <row r="329" spans="2:7" ht="12.75" customHeight="1" x14ac:dyDescent="0.25">
      <c r="B329" s="2"/>
      <c r="C329" s="2"/>
      <c r="E329" s="2"/>
      <c r="G329" s="4"/>
    </row>
    <row r="330" spans="2:7" ht="12.75" customHeight="1" x14ac:dyDescent="0.25">
      <c r="B330" s="2"/>
      <c r="C330" s="2"/>
      <c r="E330" s="2"/>
      <c r="G330" s="4"/>
    </row>
    <row r="331" spans="2:7" ht="12.75" customHeight="1" x14ac:dyDescent="0.25">
      <c r="B331" s="2"/>
      <c r="C331" s="2"/>
      <c r="E331" s="2"/>
      <c r="G331" s="4"/>
    </row>
    <row r="332" spans="2:7" ht="12.75" customHeight="1" x14ac:dyDescent="0.25">
      <c r="B332" s="2"/>
      <c r="C332" s="2"/>
      <c r="E332" s="2"/>
      <c r="G332" s="4"/>
    </row>
    <row r="333" spans="2:7" ht="12.75" customHeight="1" x14ac:dyDescent="0.25">
      <c r="B333" s="2"/>
      <c r="C333" s="2"/>
      <c r="E333" s="2"/>
      <c r="G333" s="4"/>
    </row>
    <row r="334" spans="2:7" ht="12.75" customHeight="1" x14ac:dyDescent="0.25">
      <c r="B334" s="2"/>
      <c r="C334" s="2"/>
      <c r="E334" s="2"/>
      <c r="G334" s="4"/>
    </row>
    <row r="335" spans="2:7" ht="12.75" customHeight="1" x14ac:dyDescent="0.25">
      <c r="B335" s="2"/>
      <c r="C335" s="2"/>
      <c r="E335" s="2"/>
      <c r="G335" s="4"/>
    </row>
    <row r="336" spans="2:7" ht="12.75" customHeight="1" x14ac:dyDescent="0.25">
      <c r="B336" s="2"/>
      <c r="C336" s="2"/>
      <c r="E336" s="2"/>
      <c r="G336" s="4"/>
    </row>
    <row r="337" spans="2:7" ht="12.75" customHeight="1" x14ac:dyDescent="0.25">
      <c r="B337" s="2"/>
      <c r="C337" s="2"/>
      <c r="E337" s="2"/>
      <c r="G337" s="4"/>
    </row>
    <row r="338" spans="2:7" ht="12.75" customHeight="1" x14ac:dyDescent="0.25">
      <c r="B338" s="2"/>
      <c r="C338" s="2"/>
      <c r="E338" s="2"/>
      <c r="G338" s="4"/>
    </row>
    <row r="339" spans="2:7" ht="12.75" customHeight="1" x14ac:dyDescent="0.25">
      <c r="B339" s="2"/>
      <c r="C339" s="2"/>
      <c r="E339" s="2"/>
      <c r="G339" s="4"/>
    </row>
    <row r="340" spans="2:7" ht="12.75" customHeight="1" x14ac:dyDescent="0.25">
      <c r="B340" s="2"/>
      <c r="C340" s="2"/>
      <c r="E340" s="2"/>
      <c r="G340" s="4"/>
    </row>
    <row r="341" spans="2:7" ht="12.75" customHeight="1" x14ac:dyDescent="0.25">
      <c r="B341" s="2"/>
      <c r="C341" s="2"/>
      <c r="E341" s="2"/>
      <c r="G341" s="4"/>
    </row>
    <row r="342" spans="2:7" ht="12.75" customHeight="1" x14ac:dyDescent="0.25">
      <c r="B342" s="2"/>
      <c r="C342" s="2"/>
      <c r="E342" s="2"/>
      <c r="G342" s="4"/>
    </row>
    <row r="343" spans="2:7" ht="12.75" customHeight="1" x14ac:dyDescent="0.25">
      <c r="B343" s="2"/>
      <c r="C343" s="2"/>
      <c r="E343" s="2"/>
      <c r="G343" s="4"/>
    </row>
    <row r="344" spans="2:7" ht="12.75" customHeight="1" x14ac:dyDescent="0.25">
      <c r="B344" s="2"/>
      <c r="C344" s="2"/>
      <c r="E344" s="2"/>
      <c r="G344" s="4"/>
    </row>
    <row r="345" spans="2:7" ht="12.75" customHeight="1" x14ac:dyDescent="0.25">
      <c r="B345" s="2"/>
      <c r="C345" s="2"/>
      <c r="E345" s="2"/>
      <c r="G345" s="4"/>
    </row>
    <row r="346" spans="2:7" ht="12.75" customHeight="1" x14ac:dyDescent="0.25">
      <c r="B346" s="2"/>
      <c r="C346" s="2"/>
      <c r="E346" s="2"/>
      <c r="G346" s="4"/>
    </row>
    <row r="347" spans="2:7" ht="12.75" customHeight="1" x14ac:dyDescent="0.25">
      <c r="B347" s="2"/>
      <c r="C347" s="2"/>
      <c r="E347" s="2"/>
      <c r="G347" s="4"/>
    </row>
    <row r="348" spans="2:7" ht="12.75" customHeight="1" x14ac:dyDescent="0.25">
      <c r="B348" s="2"/>
      <c r="C348" s="2"/>
      <c r="E348" s="2"/>
      <c r="G348" s="4"/>
    </row>
    <row r="349" spans="2:7" ht="12.75" customHeight="1" x14ac:dyDescent="0.25">
      <c r="B349" s="2"/>
      <c r="C349" s="2"/>
      <c r="E349" s="2"/>
      <c r="G349" s="4"/>
    </row>
    <row r="350" spans="2:7" ht="12.75" customHeight="1" x14ac:dyDescent="0.25">
      <c r="B350" s="2"/>
      <c r="C350" s="2"/>
      <c r="E350" s="2"/>
      <c r="G350" s="4"/>
    </row>
    <row r="351" spans="2:7" ht="12.75" customHeight="1" x14ac:dyDescent="0.25">
      <c r="B351" s="2"/>
      <c r="C351" s="2"/>
      <c r="E351" s="2"/>
      <c r="G351" s="4"/>
    </row>
    <row r="352" spans="2:7" ht="12.75" customHeight="1" x14ac:dyDescent="0.25">
      <c r="B352" s="2"/>
      <c r="C352" s="2"/>
      <c r="E352" s="2"/>
      <c r="G352" s="4"/>
    </row>
    <row r="353" spans="2:7" ht="12.75" customHeight="1" x14ac:dyDescent="0.25">
      <c r="B353" s="2"/>
      <c r="C353" s="2"/>
      <c r="E353" s="2"/>
      <c r="G353" s="4"/>
    </row>
    <row r="354" spans="2:7" ht="12.75" customHeight="1" x14ac:dyDescent="0.25">
      <c r="B354" s="2"/>
      <c r="C354" s="2"/>
      <c r="E354" s="2"/>
      <c r="G354" s="4"/>
    </row>
    <row r="355" spans="2:7" ht="12.75" customHeight="1" x14ac:dyDescent="0.25">
      <c r="B355" s="2"/>
      <c r="C355" s="2"/>
      <c r="E355" s="2"/>
      <c r="G355" s="4"/>
    </row>
    <row r="356" spans="2:7" ht="12.75" customHeight="1" x14ac:dyDescent="0.25">
      <c r="B356" s="2"/>
      <c r="C356" s="2"/>
      <c r="E356" s="2"/>
      <c r="G356" s="4"/>
    </row>
    <row r="357" spans="2:7" ht="12.75" customHeight="1" x14ac:dyDescent="0.25">
      <c r="B357" s="2"/>
      <c r="C357" s="2"/>
      <c r="E357" s="2"/>
      <c r="G357" s="4"/>
    </row>
    <row r="358" spans="2:7" ht="12.75" customHeight="1" x14ac:dyDescent="0.25">
      <c r="B358" s="2"/>
      <c r="C358" s="2"/>
      <c r="E358" s="2"/>
      <c r="G358" s="4"/>
    </row>
    <row r="359" spans="2:7" ht="12.75" customHeight="1" x14ac:dyDescent="0.25">
      <c r="B359" s="2"/>
      <c r="C359" s="2"/>
      <c r="E359" s="2"/>
      <c r="G359" s="4"/>
    </row>
    <row r="360" spans="2:7" ht="12.75" customHeight="1" x14ac:dyDescent="0.25">
      <c r="B360" s="2"/>
      <c r="C360" s="2"/>
      <c r="E360" s="2"/>
      <c r="G360" s="4"/>
    </row>
    <row r="361" spans="2:7" ht="12.75" customHeight="1" x14ac:dyDescent="0.25">
      <c r="B361" s="2"/>
      <c r="C361" s="2"/>
      <c r="E361" s="2"/>
      <c r="G361" s="4"/>
    </row>
    <row r="362" spans="2:7" ht="12.75" customHeight="1" x14ac:dyDescent="0.25">
      <c r="B362" s="2"/>
      <c r="C362" s="2"/>
      <c r="E362" s="2"/>
      <c r="G362" s="4"/>
    </row>
    <row r="363" spans="2:7" ht="12.75" customHeight="1" x14ac:dyDescent="0.25">
      <c r="B363" s="2"/>
      <c r="C363" s="2"/>
      <c r="E363" s="2"/>
      <c r="G363" s="4"/>
    </row>
    <row r="364" spans="2:7" ht="12.75" customHeight="1" x14ac:dyDescent="0.25">
      <c r="B364" s="2"/>
      <c r="C364" s="2"/>
      <c r="E364" s="2"/>
      <c r="G364" s="4"/>
    </row>
    <row r="365" spans="2:7" ht="12.75" customHeight="1" x14ac:dyDescent="0.25">
      <c r="B365" s="2"/>
      <c r="C365" s="2"/>
      <c r="E365" s="2"/>
      <c r="G365" s="4"/>
    </row>
    <row r="366" spans="2:7" ht="12.75" customHeight="1" x14ac:dyDescent="0.25">
      <c r="B366" s="2"/>
      <c r="C366" s="2"/>
      <c r="E366" s="2"/>
      <c r="G366" s="4"/>
    </row>
    <row r="367" spans="2:7" ht="12.75" customHeight="1" x14ac:dyDescent="0.25">
      <c r="B367" s="2"/>
      <c r="C367" s="2"/>
      <c r="E367" s="2"/>
      <c r="G367" s="4"/>
    </row>
    <row r="368" spans="2:7" ht="12.75" customHeight="1" x14ac:dyDescent="0.25">
      <c r="B368" s="2"/>
      <c r="C368" s="2"/>
      <c r="E368" s="2"/>
      <c r="G368" s="4"/>
    </row>
    <row r="369" spans="2:435" ht="12.75" customHeight="1" x14ac:dyDescent="0.25">
      <c r="B369" s="2"/>
      <c r="C369" s="2"/>
      <c r="E369" s="2"/>
      <c r="G369" s="4"/>
    </row>
    <row r="370" spans="2:435" ht="12.75" customHeight="1" x14ac:dyDescent="0.25">
      <c r="B370" s="2"/>
      <c r="C370" s="2"/>
      <c r="E370" s="2"/>
      <c r="G370" s="4"/>
    </row>
    <row r="371" spans="2:435" ht="12.75" customHeight="1" x14ac:dyDescent="0.25">
      <c r="B371" s="2"/>
      <c r="C371" s="2"/>
      <c r="E371" s="2"/>
      <c r="G371" s="4"/>
    </row>
    <row r="372" spans="2:435" ht="12.75" customHeight="1" x14ac:dyDescent="0.25">
      <c r="B372" s="2"/>
      <c r="C372" s="2"/>
      <c r="E372" s="2"/>
      <c r="G372" s="4"/>
    </row>
    <row r="373" spans="2:435" ht="12.75" customHeight="1" x14ac:dyDescent="0.25">
      <c r="B373" s="2"/>
      <c r="C373" s="2"/>
      <c r="E373" s="2"/>
      <c r="G373" s="4"/>
    </row>
    <row r="374" spans="2:435" ht="12.75" customHeight="1" x14ac:dyDescent="0.25">
      <c r="B374" s="2"/>
      <c r="C374" s="2"/>
      <c r="E374" s="2"/>
      <c r="G374" s="4"/>
    </row>
    <row r="375" spans="2:435" ht="12.75" customHeight="1" x14ac:dyDescent="0.25">
      <c r="B375" s="2"/>
      <c r="C375" s="2"/>
      <c r="E375" s="2"/>
      <c r="G375" s="4"/>
    </row>
    <row r="376" spans="2:435" ht="12.75" customHeight="1" x14ac:dyDescent="0.25">
      <c r="B376" s="2"/>
      <c r="C376" s="2"/>
      <c r="E376" s="2"/>
      <c r="G376" s="4"/>
      <c r="PS376" s="14">
        <f>+++++++++++++++++++++++++++++++++++++++++++++++++++++++++++++D924</f>
        <v>0</v>
      </c>
    </row>
    <row r="377" spans="2:435" ht="12.75" customHeight="1" x14ac:dyDescent="0.25">
      <c r="B377" s="2"/>
      <c r="C377" s="2"/>
      <c r="E377" s="2"/>
      <c r="G377" s="4"/>
    </row>
    <row r="378" spans="2:435" ht="12.75" customHeight="1" x14ac:dyDescent="0.25">
      <c r="B378" s="2"/>
      <c r="C378" s="2"/>
      <c r="E378" s="2"/>
      <c r="G378" s="4"/>
    </row>
    <row r="379" spans="2:435" ht="12.75" customHeight="1" x14ac:dyDescent="0.25">
      <c r="B379" s="2"/>
      <c r="C379" s="2"/>
      <c r="E379" s="2"/>
      <c r="G379" s="4"/>
    </row>
    <row r="380" spans="2:435" ht="12.75" customHeight="1" x14ac:dyDescent="0.25">
      <c r="B380" s="2"/>
      <c r="C380" s="2"/>
      <c r="E380" s="2"/>
      <c r="G380" s="4"/>
    </row>
    <row r="381" spans="2:435" ht="12.75" customHeight="1" x14ac:dyDescent="0.25">
      <c r="B381" s="2"/>
      <c r="C381" s="2"/>
      <c r="E381" s="2"/>
      <c r="G381" s="4"/>
    </row>
    <row r="382" spans="2:435" ht="12.75" customHeight="1" x14ac:dyDescent="0.25">
      <c r="B382" s="2"/>
      <c r="C382" s="2"/>
      <c r="E382" s="2"/>
      <c r="G382" s="4"/>
    </row>
    <row r="383" spans="2:435" ht="12.75" customHeight="1" x14ac:dyDescent="0.25">
      <c r="B383" s="2"/>
      <c r="C383" s="2"/>
      <c r="E383" s="2"/>
      <c r="G383" s="4"/>
    </row>
    <row r="384" spans="2:435" ht="12.75" customHeight="1" x14ac:dyDescent="0.25">
      <c r="B384" s="2"/>
      <c r="C384" s="2"/>
      <c r="E384" s="2"/>
      <c r="G384" s="4"/>
    </row>
    <row r="385" spans="2:7" ht="12.75" customHeight="1" x14ac:dyDescent="0.25">
      <c r="B385" s="2"/>
      <c r="C385" s="2"/>
      <c r="E385" s="2"/>
      <c r="G385" s="4"/>
    </row>
    <row r="386" spans="2:7" ht="12.75" customHeight="1" x14ac:dyDescent="0.25">
      <c r="B386" s="2"/>
      <c r="C386" s="2"/>
      <c r="E386" s="2"/>
      <c r="G386" s="4"/>
    </row>
    <row r="387" spans="2:7" ht="12.75" customHeight="1" x14ac:dyDescent="0.25">
      <c r="B387" s="2"/>
      <c r="C387" s="2"/>
      <c r="E387" s="2"/>
      <c r="G387" s="4"/>
    </row>
    <row r="388" spans="2:7" ht="12.75" customHeight="1" x14ac:dyDescent="0.25">
      <c r="B388" s="2"/>
      <c r="C388" s="2"/>
      <c r="E388" s="2"/>
      <c r="G388" s="4"/>
    </row>
    <row r="389" spans="2:7" ht="12.75" customHeight="1" x14ac:dyDescent="0.25">
      <c r="B389" s="2"/>
      <c r="C389" s="2"/>
      <c r="E389" s="2"/>
      <c r="G389" s="4"/>
    </row>
    <row r="390" spans="2:7" ht="12.75" customHeight="1" x14ac:dyDescent="0.25">
      <c r="B390" s="2"/>
      <c r="C390" s="2"/>
      <c r="E390" s="2"/>
      <c r="G390" s="4"/>
    </row>
    <row r="391" spans="2:7" ht="12.75" customHeight="1" x14ac:dyDescent="0.25">
      <c r="B391" s="2"/>
      <c r="C391" s="2"/>
      <c r="E391" s="2"/>
      <c r="G391" s="4"/>
    </row>
    <row r="392" spans="2:7" ht="12.75" customHeight="1" x14ac:dyDescent="0.25">
      <c r="B392" s="2"/>
      <c r="C392" s="2"/>
      <c r="E392" s="2"/>
      <c r="G392" s="4"/>
    </row>
    <row r="393" spans="2:7" ht="12.75" customHeight="1" x14ac:dyDescent="0.25">
      <c r="B393" s="2"/>
      <c r="C393" s="2"/>
      <c r="E393" s="2"/>
      <c r="G393" s="4"/>
    </row>
    <row r="394" spans="2:7" ht="12.75" customHeight="1" x14ac:dyDescent="0.25">
      <c r="B394" s="2"/>
      <c r="C394" s="2"/>
      <c r="E394" s="2"/>
      <c r="G394" s="4"/>
    </row>
    <row r="395" spans="2:7" ht="12.75" customHeight="1" x14ac:dyDescent="0.25">
      <c r="B395" s="2"/>
      <c r="C395" s="2"/>
      <c r="E395" s="2"/>
      <c r="G395" s="4"/>
    </row>
    <row r="396" spans="2:7" ht="12.75" customHeight="1" x14ac:dyDescent="0.25">
      <c r="B396" s="2"/>
      <c r="C396" s="2"/>
      <c r="E396" s="2"/>
      <c r="G396" s="4"/>
    </row>
    <row r="397" spans="2:7" ht="12.75" customHeight="1" x14ac:dyDescent="0.25">
      <c r="B397" s="2"/>
      <c r="C397" s="2"/>
      <c r="E397" s="2"/>
      <c r="G397" s="4"/>
    </row>
    <row r="398" spans="2:7" ht="12.75" customHeight="1" x14ac:dyDescent="0.25">
      <c r="B398" s="2"/>
      <c r="C398" s="2"/>
      <c r="E398" s="2"/>
      <c r="G398" s="4"/>
    </row>
    <row r="399" spans="2:7" ht="12.75" customHeight="1" x14ac:dyDescent="0.25">
      <c r="B399" s="2"/>
      <c r="C399" s="2"/>
      <c r="E399" s="2"/>
      <c r="G399" s="4"/>
    </row>
    <row r="400" spans="2:7" ht="12.75" customHeight="1" x14ac:dyDescent="0.25">
      <c r="B400" s="2"/>
      <c r="C400" s="2"/>
      <c r="E400" s="2"/>
      <c r="G400" s="4"/>
    </row>
    <row r="401" spans="2:7" ht="12.75" customHeight="1" x14ac:dyDescent="0.25">
      <c r="B401" s="2"/>
      <c r="C401" s="2"/>
      <c r="E401" s="2"/>
      <c r="G401" s="4"/>
    </row>
    <row r="402" spans="2:7" ht="12.75" customHeight="1" x14ac:dyDescent="0.25">
      <c r="B402" s="2"/>
      <c r="C402" s="2"/>
      <c r="E402" s="2"/>
      <c r="G402" s="4"/>
    </row>
    <row r="403" spans="2:7" ht="12.75" customHeight="1" x14ac:dyDescent="0.25">
      <c r="B403" s="2"/>
      <c r="C403" s="2"/>
      <c r="E403" s="2"/>
      <c r="G403" s="4"/>
    </row>
    <row r="404" spans="2:7" ht="12.75" customHeight="1" x14ac:dyDescent="0.25">
      <c r="B404" s="2"/>
      <c r="C404" s="2"/>
      <c r="E404" s="2"/>
      <c r="G404" s="4"/>
    </row>
    <row r="405" spans="2:7" ht="12.75" customHeight="1" x14ac:dyDescent="0.25">
      <c r="B405" s="2"/>
      <c r="C405" s="2"/>
      <c r="E405" s="2"/>
      <c r="G405" s="4"/>
    </row>
    <row r="406" spans="2:7" ht="12.75" customHeight="1" x14ac:dyDescent="0.25">
      <c r="B406" s="2"/>
      <c r="C406" s="2"/>
      <c r="E406" s="2"/>
      <c r="G406" s="4"/>
    </row>
    <row r="407" spans="2:7" ht="12.75" customHeight="1" x14ac:dyDescent="0.25">
      <c r="B407" s="2"/>
      <c r="C407" s="2"/>
      <c r="E407" s="2"/>
      <c r="G407" s="4"/>
    </row>
    <row r="408" spans="2:7" ht="12.75" customHeight="1" x14ac:dyDescent="0.25">
      <c r="B408" s="2"/>
      <c r="C408" s="2"/>
      <c r="E408" s="2"/>
      <c r="G408" s="4"/>
    </row>
    <row r="409" spans="2:7" ht="12.75" customHeight="1" x14ac:dyDescent="0.25">
      <c r="B409" s="2"/>
      <c r="C409" s="2"/>
      <c r="E409" s="2"/>
      <c r="G409" s="4"/>
    </row>
    <row r="410" spans="2:7" ht="12.75" customHeight="1" x14ac:dyDescent="0.25">
      <c r="B410" s="2"/>
      <c r="C410" s="2"/>
      <c r="E410" s="2"/>
      <c r="G410" s="4"/>
    </row>
    <row r="411" spans="2:7" ht="12.75" customHeight="1" x14ac:dyDescent="0.25">
      <c r="B411" s="2"/>
      <c r="C411" s="2"/>
      <c r="E411" s="2"/>
      <c r="G411" s="4"/>
    </row>
    <row r="412" spans="2:7" ht="12.75" customHeight="1" x14ac:dyDescent="0.25">
      <c r="B412" s="2"/>
      <c r="C412" s="2"/>
      <c r="E412" s="2"/>
      <c r="G412" s="4"/>
    </row>
    <row r="413" spans="2:7" ht="12.75" customHeight="1" x14ac:dyDescent="0.25">
      <c r="B413" s="2"/>
      <c r="C413" s="2"/>
      <c r="E413" s="2"/>
      <c r="G413" s="4"/>
    </row>
    <row r="414" spans="2:7" ht="12.75" customHeight="1" x14ac:dyDescent="0.25">
      <c r="B414" s="2"/>
      <c r="C414" s="2"/>
      <c r="E414" s="2"/>
      <c r="G414" s="4"/>
    </row>
    <row r="415" spans="2:7" ht="12.75" customHeight="1" x14ac:dyDescent="0.25">
      <c r="B415" s="2"/>
      <c r="C415" s="2"/>
      <c r="E415" s="2"/>
      <c r="G415" s="4"/>
    </row>
    <row r="416" spans="2:7" ht="12.75" customHeight="1" x14ac:dyDescent="0.25">
      <c r="B416" s="2"/>
      <c r="C416" s="2"/>
      <c r="E416" s="2"/>
      <c r="G416" s="4"/>
    </row>
    <row r="417" spans="2:7" ht="12.75" customHeight="1" x14ac:dyDescent="0.25">
      <c r="B417" s="2"/>
      <c r="C417" s="2"/>
      <c r="E417" s="2"/>
      <c r="G417" s="4"/>
    </row>
    <row r="418" spans="2:7" ht="12.75" customHeight="1" x14ac:dyDescent="0.25">
      <c r="B418" s="2"/>
      <c r="C418" s="2"/>
      <c r="E418" s="2"/>
      <c r="G418" s="4"/>
    </row>
    <row r="419" spans="2:7" ht="12.75" customHeight="1" x14ac:dyDescent="0.25">
      <c r="B419" s="2"/>
      <c r="C419" s="2"/>
      <c r="E419" s="2"/>
      <c r="G419" s="4"/>
    </row>
    <row r="420" spans="2:7" ht="12.75" customHeight="1" x14ac:dyDescent="0.25">
      <c r="B420" s="2"/>
      <c r="C420" s="2"/>
      <c r="E420" s="2"/>
      <c r="G420" s="4"/>
    </row>
    <row r="421" spans="2:7" ht="12.75" customHeight="1" x14ac:dyDescent="0.25">
      <c r="B421" s="2"/>
      <c r="C421" s="2"/>
      <c r="E421" s="2"/>
      <c r="G421" s="4"/>
    </row>
    <row r="422" spans="2:7" ht="12.75" customHeight="1" x14ac:dyDescent="0.25">
      <c r="B422" s="2"/>
      <c r="C422" s="2"/>
      <c r="E422" s="2"/>
      <c r="G422" s="4"/>
    </row>
    <row r="423" spans="2:7" ht="12.75" customHeight="1" x14ac:dyDescent="0.25">
      <c r="B423" s="2"/>
      <c r="C423" s="2"/>
      <c r="E423" s="2"/>
      <c r="G423" s="4"/>
    </row>
    <row r="424" spans="2:7" ht="12.75" customHeight="1" x14ac:dyDescent="0.25">
      <c r="B424" s="2"/>
      <c r="C424" s="2"/>
      <c r="E424" s="2"/>
      <c r="G424" s="4"/>
    </row>
    <row r="425" spans="2:7" ht="12.75" customHeight="1" x14ac:dyDescent="0.25">
      <c r="B425" s="2"/>
      <c r="C425" s="2"/>
      <c r="E425" s="2"/>
      <c r="G425" s="4"/>
    </row>
    <row r="426" spans="2:7" ht="12.75" customHeight="1" x14ac:dyDescent="0.25">
      <c r="B426" s="2"/>
      <c r="C426" s="2"/>
      <c r="E426" s="2"/>
      <c r="G426" s="4"/>
    </row>
    <row r="427" spans="2:7" ht="12.75" customHeight="1" x14ac:dyDescent="0.25">
      <c r="B427" s="2"/>
      <c r="C427" s="2"/>
      <c r="E427" s="2"/>
      <c r="G427" s="4"/>
    </row>
    <row r="428" spans="2:7" ht="12.75" customHeight="1" x14ac:dyDescent="0.25">
      <c r="B428" s="2"/>
      <c r="C428" s="2"/>
      <c r="E428" s="2"/>
      <c r="G428" s="4"/>
    </row>
    <row r="429" spans="2:7" ht="12.75" customHeight="1" x14ac:dyDescent="0.25">
      <c r="B429" s="2"/>
      <c r="C429" s="2"/>
      <c r="E429" s="2"/>
      <c r="G429" s="4"/>
    </row>
    <row r="430" spans="2:7" ht="12.75" customHeight="1" x14ac:dyDescent="0.25">
      <c r="B430" s="2"/>
      <c r="C430" s="2"/>
      <c r="E430" s="2"/>
      <c r="G430" s="4"/>
    </row>
    <row r="431" spans="2:7" ht="12.75" customHeight="1" x14ac:dyDescent="0.25">
      <c r="B431" s="2"/>
      <c r="C431" s="2"/>
      <c r="E431" s="2"/>
      <c r="G431" s="4"/>
    </row>
    <row r="432" spans="2:7" ht="12.75" customHeight="1" x14ac:dyDescent="0.25">
      <c r="B432" s="2"/>
      <c r="C432" s="2"/>
      <c r="E432" s="2"/>
      <c r="G432" s="4"/>
    </row>
    <row r="433" spans="2:7" ht="12.75" customHeight="1" x14ac:dyDescent="0.25">
      <c r="B433" s="2"/>
      <c r="C433" s="2"/>
      <c r="E433" s="2"/>
      <c r="G433" s="4"/>
    </row>
    <row r="434" spans="2:7" ht="12.75" customHeight="1" x14ac:dyDescent="0.25">
      <c r="B434" s="2"/>
      <c r="C434" s="2"/>
      <c r="E434" s="2"/>
      <c r="G434" s="4"/>
    </row>
    <row r="435" spans="2:7" ht="12.75" customHeight="1" x14ac:dyDescent="0.25">
      <c r="B435" s="2"/>
      <c r="C435" s="2"/>
      <c r="E435" s="2"/>
      <c r="G435" s="4"/>
    </row>
    <row r="436" spans="2:7" ht="12.75" customHeight="1" x14ac:dyDescent="0.25">
      <c r="B436" s="2"/>
      <c r="C436" s="2"/>
      <c r="E436" s="2"/>
      <c r="G436" s="4"/>
    </row>
    <row r="437" spans="2:7" ht="12.75" customHeight="1" x14ac:dyDescent="0.25">
      <c r="B437" s="2"/>
      <c r="C437" s="2"/>
      <c r="E437" s="2"/>
      <c r="G437" s="4"/>
    </row>
    <row r="438" spans="2:7" ht="12.75" customHeight="1" x14ac:dyDescent="0.25">
      <c r="B438" s="2"/>
      <c r="C438" s="2"/>
      <c r="E438" s="2"/>
      <c r="G438" s="4"/>
    </row>
    <row r="439" spans="2:7" ht="12.75" customHeight="1" x14ac:dyDescent="0.25">
      <c r="B439" s="2"/>
      <c r="C439" s="2"/>
      <c r="E439" s="2"/>
      <c r="G439" s="4"/>
    </row>
    <row r="440" spans="2:7" ht="12.75" customHeight="1" x14ac:dyDescent="0.25">
      <c r="B440" s="2"/>
      <c r="C440" s="2"/>
      <c r="E440" s="2"/>
      <c r="G440" s="4"/>
    </row>
    <row r="441" spans="2:7" ht="12.75" customHeight="1" x14ac:dyDescent="0.25">
      <c r="B441" s="2"/>
      <c r="C441" s="2"/>
      <c r="E441" s="2"/>
      <c r="G441" s="4"/>
    </row>
    <row r="442" spans="2:7" ht="12.75" customHeight="1" x14ac:dyDescent="0.25">
      <c r="B442" s="2"/>
      <c r="C442" s="2"/>
      <c r="E442" s="2"/>
      <c r="G442" s="4"/>
    </row>
    <row r="443" spans="2:7" ht="12.75" customHeight="1" x14ac:dyDescent="0.25">
      <c r="B443" s="2"/>
      <c r="C443" s="2"/>
      <c r="E443" s="2"/>
      <c r="G443" s="4"/>
    </row>
    <row r="444" spans="2:7" ht="12.75" customHeight="1" x14ac:dyDescent="0.25">
      <c r="B444" s="2"/>
      <c r="C444" s="2"/>
      <c r="E444" s="2"/>
      <c r="G444" s="4"/>
    </row>
    <row r="445" spans="2:7" ht="12.75" customHeight="1" x14ac:dyDescent="0.25">
      <c r="B445" s="2"/>
      <c r="C445" s="2"/>
      <c r="E445" s="2"/>
      <c r="G445" s="4"/>
    </row>
    <row r="446" spans="2:7" ht="12.75" customHeight="1" x14ac:dyDescent="0.25">
      <c r="B446" s="2"/>
      <c r="C446" s="2"/>
      <c r="E446" s="2"/>
      <c r="G446" s="4"/>
    </row>
    <row r="447" spans="2:7" ht="12.75" customHeight="1" x14ac:dyDescent="0.25">
      <c r="B447" s="2"/>
      <c r="C447" s="2"/>
      <c r="E447" s="2"/>
      <c r="G447" s="4"/>
    </row>
    <row r="448" spans="2:7" ht="12.75" customHeight="1" x14ac:dyDescent="0.25">
      <c r="B448" s="2"/>
      <c r="C448" s="2"/>
      <c r="E448" s="2"/>
      <c r="G448" s="4"/>
    </row>
    <row r="449" spans="2:7" ht="12.75" customHeight="1" x14ac:dyDescent="0.25">
      <c r="B449" s="2"/>
      <c r="C449" s="2"/>
      <c r="E449" s="2"/>
      <c r="G449" s="4"/>
    </row>
    <row r="450" spans="2:7" ht="12.75" customHeight="1" x14ac:dyDescent="0.25">
      <c r="B450" s="2"/>
      <c r="C450" s="2"/>
      <c r="E450" s="2"/>
      <c r="G450" s="4"/>
    </row>
    <row r="451" spans="2:7" ht="12.75" customHeight="1" x14ac:dyDescent="0.25">
      <c r="B451" s="2"/>
      <c r="C451" s="2"/>
      <c r="E451" s="2"/>
      <c r="G451" s="4"/>
    </row>
    <row r="452" spans="2:7" ht="12.75" customHeight="1" x14ac:dyDescent="0.25">
      <c r="B452" s="2"/>
      <c r="C452" s="2"/>
      <c r="E452" s="2"/>
      <c r="G452" s="4"/>
    </row>
    <row r="453" spans="2:7" ht="12.75" customHeight="1" x14ac:dyDescent="0.25">
      <c r="B453" s="2"/>
      <c r="C453" s="2"/>
      <c r="E453" s="2"/>
      <c r="G453" s="4"/>
    </row>
    <row r="454" spans="2:7" ht="12.75" customHeight="1" x14ac:dyDescent="0.25">
      <c r="B454" s="2"/>
      <c r="C454" s="2"/>
      <c r="E454" s="2"/>
      <c r="G454" s="4"/>
    </row>
    <row r="455" spans="2:7" ht="12.75" customHeight="1" x14ac:dyDescent="0.25">
      <c r="B455" s="2"/>
      <c r="C455" s="2"/>
      <c r="E455" s="2"/>
      <c r="G455" s="4"/>
    </row>
    <row r="456" spans="2:7" ht="12.75" customHeight="1" x14ac:dyDescent="0.25">
      <c r="B456" s="2"/>
      <c r="C456" s="2"/>
      <c r="E456" s="2"/>
      <c r="G456" s="4"/>
    </row>
    <row r="457" spans="2:7" ht="12.75" customHeight="1" x14ac:dyDescent="0.25">
      <c r="B457" s="2"/>
      <c r="C457" s="2"/>
      <c r="E457" s="2"/>
      <c r="G457" s="4"/>
    </row>
    <row r="458" spans="2:7" ht="12.75" customHeight="1" x14ac:dyDescent="0.25">
      <c r="B458" s="2"/>
      <c r="C458" s="2"/>
      <c r="E458" s="2"/>
      <c r="G458" s="4"/>
    </row>
    <row r="459" spans="2:7" ht="12.75" customHeight="1" x14ac:dyDescent="0.25">
      <c r="B459" s="2"/>
      <c r="C459" s="2"/>
      <c r="E459" s="2"/>
      <c r="G459" s="4"/>
    </row>
    <row r="460" spans="2:7" ht="12.75" customHeight="1" x14ac:dyDescent="0.25">
      <c r="B460" s="2"/>
      <c r="C460" s="2"/>
      <c r="E460" s="2"/>
      <c r="G460" s="4"/>
    </row>
    <row r="461" spans="2:7" ht="12.75" customHeight="1" x14ac:dyDescent="0.25">
      <c r="B461" s="2"/>
      <c r="C461" s="2"/>
      <c r="E461" s="2"/>
      <c r="G461" s="4"/>
    </row>
    <row r="462" spans="2:7" ht="12.75" customHeight="1" x14ac:dyDescent="0.25">
      <c r="B462" s="2"/>
      <c r="C462" s="2"/>
      <c r="E462" s="2"/>
      <c r="G462" s="4"/>
    </row>
    <row r="463" spans="2:7" ht="12.75" customHeight="1" x14ac:dyDescent="0.25">
      <c r="B463" s="2"/>
      <c r="C463" s="2"/>
      <c r="E463" s="2"/>
      <c r="G463" s="4"/>
    </row>
    <row r="464" spans="2:7" ht="12.75" customHeight="1" x14ac:dyDescent="0.25">
      <c r="B464" s="2"/>
      <c r="C464" s="2"/>
      <c r="E464" s="2"/>
      <c r="G464" s="4"/>
    </row>
    <row r="465" spans="2:7" ht="12.75" customHeight="1" x14ac:dyDescent="0.25">
      <c r="B465" s="2"/>
      <c r="C465" s="2"/>
      <c r="E465" s="2"/>
      <c r="G465" s="4"/>
    </row>
    <row r="466" spans="2:7" ht="12.75" customHeight="1" x14ac:dyDescent="0.25">
      <c r="B466" s="2"/>
      <c r="C466" s="2"/>
      <c r="E466" s="2"/>
      <c r="G466" s="4"/>
    </row>
    <row r="467" spans="2:7" ht="12.75" customHeight="1" x14ac:dyDescent="0.25">
      <c r="B467" s="2"/>
      <c r="C467" s="2"/>
      <c r="E467" s="2"/>
      <c r="G467" s="4"/>
    </row>
    <row r="468" spans="2:7" ht="12.75" customHeight="1" x14ac:dyDescent="0.25">
      <c r="B468" s="2"/>
      <c r="C468" s="2"/>
      <c r="E468" s="2"/>
      <c r="G468" s="4"/>
    </row>
    <row r="469" spans="2:7" ht="12.75" customHeight="1" x14ac:dyDescent="0.25">
      <c r="B469" s="2"/>
      <c r="C469" s="2"/>
      <c r="E469" s="2"/>
      <c r="G469" s="4"/>
    </row>
    <row r="470" spans="2:7" ht="12.75" customHeight="1" x14ac:dyDescent="0.25">
      <c r="B470" s="2"/>
      <c r="C470" s="2"/>
      <c r="E470" s="2"/>
      <c r="G470" s="4"/>
    </row>
    <row r="471" spans="2:7" ht="12.75" customHeight="1" x14ac:dyDescent="0.25">
      <c r="B471" s="2"/>
      <c r="C471" s="2"/>
      <c r="E471" s="2"/>
      <c r="G471" s="4"/>
    </row>
    <row r="472" spans="2:7" ht="12.75" customHeight="1" x14ac:dyDescent="0.25">
      <c r="B472" s="2"/>
      <c r="C472" s="2"/>
      <c r="E472" s="2"/>
      <c r="G472" s="4"/>
    </row>
    <row r="473" spans="2:7" ht="12.75" customHeight="1" x14ac:dyDescent="0.25">
      <c r="B473" s="2"/>
      <c r="C473" s="2"/>
      <c r="E473" s="2"/>
      <c r="G473" s="4"/>
    </row>
    <row r="474" spans="2:7" ht="12.75" customHeight="1" x14ac:dyDescent="0.25">
      <c r="B474" s="2"/>
      <c r="C474" s="2"/>
      <c r="E474" s="2"/>
      <c r="G474" s="4"/>
    </row>
    <row r="475" spans="2:7" ht="12.75" customHeight="1" x14ac:dyDescent="0.25">
      <c r="B475" s="2"/>
      <c r="C475" s="2"/>
      <c r="E475" s="2"/>
      <c r="G475" s="4"/>
    </row>
    <row r="476" spans="2:7" ht="12.75" customHeight="1" x14ac:dyDescent="0.25">
      <c r="B476" s="2"/>
      <c r="C476" s="2"/>
      <c r="E476" s="2"/>
      <c r="G476" s="4"/>
    </row>
    <row r="477" spans="2:7" ht="12.75" customHeight="1" x14ac:dyDescent="0.25">
      <c r="B477" s="2"/>
      <c r="C477" s="2"/>
      <c r="E477" s="2"/>
      <c r="G477" s="4"/>
    </row>
    <row r="478" spans="2:7" ht="12.75" customHeight="1" x14ac:dyDescent="0.25">
      <c r="B478" s="2"/>
      <c r="C478" s="2"/>
      <c r="E478" s="2"/>
      <c r="G478" s="4"/>
    </row>
    <row r="479" spans="2:7" ht="12.75" customHeight="1" x14ac:dyDescent="0.25">
      <c r="B479" s="2"/>
      <c r="C479" s="2"/>
      <c r="E479" s="2"/>
      <c r="G479" s="4"/>
    </row>
    <row r="480" spans="2:7" ht="12.75" customHeight="1" x14ac:dyDescent="0.25">
      <c r="B480" s="2"/>
      <c r="C480" s="2"/>
      <c r="E480" s="2"/>
      <c r="G480" s="4"/>
    </row>
    <row r="481" spans="2:7" ht="12.75" customHeight="1" x14ac:dyDescent="0.25">
      <c r="B481" s="2"/>
      <c r="C481" s="2"/>
      <c r="E481" s="2"/>
      <c r="G481" s="4"/>
    </row>
    <row r="482" spans="2:7" ht="12.75" customHeight="1" x14ac:dyDescent="0.25">
      <c r="B482" s="2"/>
      <c r="C482" s="2"/>
      <c r="E482" s="2"/>
      <c r="G482" s="4"/>
    </row>
    <row r="483" spans="2:7" ht="12.75" customHeight="1" x14ac:dyDescent="0.25">
      <c r="B483" s="2"/>
      <c r="C483" s="2"/>
      <c r="E483" s="2"/>
      <c r="G483" s="4"/>
    </row>
    <row r="484" spans="2:7" ht="12.75" customHeight="1" x14ac:dyDescent="0.25">
      <c r="B484" s="2"/>
      <c r="C484" s="2"/>
      <c r="E484" s="2"/>
      <c r="G484" s="4"/>
    </row>
    <row r="485" spans="2:7" ht="12.75" customHeight="1" x14ac:dyDescent="0.25">
      <c r="B485" s="2"/>
      <c r="C485" s="2"/>
      <c r="E485" s="2"/>
      <c r="G485" s="4"/>
    </row>
    <row r="486" spans="2:7" ht="12.75" customHeight="1" x14ac:dyDescent="0.25">
      <c r="B486" s="2"/>
      <c r="C486" s="2"/>
      <c r="E486" s="2"/>
      <c r="G486" s="4"/>
    </row>
    <row r="487" spans="2:7" ht="12.75" customHeight="1" x14ac:dyDescent="0.25">
      <c r="B487" s="2"/>
      <c r="C487" s="2"/>
      <c r="E487" s="2"/>
      <c r="G487" s="4"/>
    </row>
    <row r="488" spans="2:7" ht="12.75" customHeight="1" x14ac:dyDescent="0.25">
      <c r="B488" s="2"/>
      <c r="C488" s="2"/>
      <c r="E488" s="2"/>
      <c r="G488" s="4"/>
    </row>
    <row r="489" spans="2:7" ht="12.75" customHeight="1" x14ac:dyDescent="0.25">
      <c r="B489" s="2"/>
      <c r="C489" s="2"/>
      <c r="E489" s="2"/>
      <c r="G489" s="4"/>
    </row>
    <row r="490" spans="2:7" ht="12.75" customHeight="1" x14ac:dyDescent="0.25">
      <c r="B490" s="2"/>
      <c r="C490" s="2"/>
      <c r="E490" s="2"/>
      <c r="G490" s="4"/>
    </row>
    <row r="491" spans="2:7" ht="12.75" customHeight="1" x14ac:dyDescent="0.25">
      <c r="B491" s="2"/>
      <c r="C491" s="2"/>
      <c r="E491" s="2"/>
      <c r="G491" s="4"/>
    </row>
    <row r="492" spans="2:7" ht="12.75" customHeight="1" x14ac:dyDescent="0.25">
      <c r="B492" s="2"/>
      <c r="C492" s="2"/>
      <c r="E492" s="2"/>
      <c r="G492" s="4"/>
    </row>
    <row r="493" spans="2:7" ht="12.75" customHeight="1" x14ac:dyDescent="0.25">
      <c r="B493" s="2"/>
      <c r="C493" s="2"/>
      <c r="E493" s="2"/>
      <c r="G493" s="4"/>
    </row>
    <row r="494" spans="2:7" ht="12.75" customHeight="1" x14ac:dyDescent="0.25">
      <c r="B494" s="2"/>
      <c r="C494" s="2"/>
      <c r="E494" s="2"/>
      <c r="G494" s="4"/>
    </row>
    <row r="495" spans="2:7" ht="12.75" customHeight="1" x14ac:dyDescent="0.25">
      <c r="B495" s="2"/>
      <c r="C495" s="2"/>
      <c r="E495" s="2"/>
      <c r="G495" s="4"/>
    </row>
    <row r="496" spans="2:7" ht="12.75" customHeight="1" x14ac:dyDescent="0.25">
      <c r="B496" s="2"/>
      <c r="C496" s="2"/>
      <c r="E496" s="2"/>
      <c r="G496" s="4"/>
    </row>
    <row r="497" spans="2:7" ht="12.75" customHeight="1" x14ac:dyDescent="0.25">
      <c r="B497" s="2"/>
      <c r="C497" s="2"/>
      <c r="E497" s="2"/>
      <c r="G497" s="4"/>
    </row>
    <row r="498" spans="2:7" ht="12.75" customHeight="1" x14ac:dyDescent="0.25">
      <c r="B498" s="2"/>
      <c r="C498" s="2"/>
      <c r="E498" s="2"/>
      <c r="G498" s="4"/>
    </row>
    <row r="499" spans="2:7" ht="12.75" customHeight="1" x14ac:dyDescent="0.25">
      <c r="B499" s="2"/>
      <c r="C499" s="2"/>
      <c r="E499" s="2"/>
      <c r="G499" s="4"/>
    </row>
    <row r="500" spans="2:7" ht="12.75" customHeight="1" x14ac:dyDescent="0.25">
      <c r="B500" s="2"/>
      <c r="C500" s="2"/>
      <c r="E500" s="2"/>
      <c r="G500" s="4"/>
    </row>
    <row r="501" spans="2:7" ht="12.75" customHeight="1" x14ac:dyDescent="0.25">
      <c r="B501" s="2"/>
      <c r="C501" s="2"/>
      <c r="E501" s="2"/>
      <c r="G501" s="4"/>
    </row>
    <row r="502" spans="2:7" ht="12.75" customHeight="1" x14ac:dyDescent="0.25">
      <c r="B502" s="2"/>
      <c r="C502" s="2"/>
      <c r="E502" s="2"/>
      <c r="G502" s="4"/>
    </row>
    <row r="503" spans="2:7" ht="12.75" customHeight="1" x14ac:dyDescent="0.25">
      <c r="B503" s="2"/>
      <c r="C503" s="2"/>
      <c r="E503" s="2"/>
      <c r="G503" s="4"/>
    </row>
    <row r="504" spans="2:7" ht="12.75" customHeight="1" x14ac:dyDescent="0.25">
      <c r="B504" s="2"/>
      <c r="C504" s="2"/>
      <c r="E504" s="2"/>
      <c r="G504" s="4"/>
    </row>
    <row r="505" spans="2:7" ht="12.75" customHeight="1" x14ac:dyDescent="0.25">
      <c r="B505" s="2"/>
      <c r="C505" s="2"/>
      <c r="E505" s="2"/>
      <c r="G505" s="4"/>
    </row>
    <row r="506" spans="2:7" ht="12.75" customHeight="1" x14ac:dyDescent="0.25">
      <c r="B506" s="2"/>
      <c r="C506" s="2"/>
      <c r="E506" s="2"/>
      <c r="G506" s="4"/>
    </row>
    <row r="507" spans="2:7" ht="12.75" customHeight="1" x14ac:dyDescent="0.25">
      <c r="B507" s="2"/>
      <c r="C507" s="2"/>
      <c r="E507" s="2"/>
      <c r="G507" s="4"/>
    </row>
    <row r="508" spans="2:7" ht="12.75" customHeight="1" x14ac:dyDescent="0.25">
      <c r="B508" s="2"/>
      <c r="C508" s="2"/>
      <c r="E508" s="2"/>
      <c r="G508" s="4"/>
    </row>
    <row r="509" spans="2:7" ht="12.75" customHeight="1" x14ac:dyDescent="0.25">
      <c r="B509" s="2"/>
      <c r="C509" s="2"/>
      <c r="E509" s="2"/>
      <c r="G509" s="4"/>
    </row>
    <row r="510" spans="2:7" ht="12.75" customHeight="1" x14ac:dyDescent="0.25">
      <c r="B510" s="2"/>
      <c r="C510" s="2"/>
      <c r="E510" s="2"/>
      <c r="G510" s="4"/>
    </row>
    <row r="511" spans="2:7" ht="12.75" customHeight="1" x14ac:dyDescent="0.25">
      <c r="B511" s="2"/>
      <c r="C511" s="2"/>
      <c r="E511" s="2"/>
      <c r="G511" s="4"/>
    </row>
    <row r="512" spans="2:7" ht="12.75" customHeight="1" x14ac:dyDescent="0.25">
      <c r="B512" s="2"/>
      <c r="C512" s="2"/>
      <c r="E512" s="2"/>
      <c r="G512" s="4"/>
    </row>
    <row r="513" spans="2:7" ht="12.75" customHeight="1" x14ac:dyDescent="0.25">
      <c r="B513" s="2"/>
      <c r="C513" s="2"/>
      <c r="E513" s="2"/>
      <c r="G513" s="4"/>
    </row>
    <row r="514" spans="2:7" ht="12.75" customHeight="1" x14ac:dyDescent="0.25">
      <c r="B514" s="2"/>
      <c r="C514" s="2"/>
      <c r="E514" s="2"/>
      <c r="G514" s="4"/>
    </row>
    <row r="515" spans="2:7" ht="12.75" customHeight="1" x14ac:dyDescent="0.25">
      <c r="B515" s="2"/>
      <c r="C515" s="2"/>
      <c r="E515" s="2"/>
      <c r="G515" s="4"/>
    </row>
    <row r="516" spans="2:7" ht="12.75" customHeight="1" x14ac:dyDescent="0.25">
      <c r="B516" s="2"/>
      <c r="C516" s="2"/>
      <c r="E516" s="2"/>
      <c r="G516" s="4"/>
    </row>
    <row r="517" spans="2:7" ht="12.75" customHeight="1" x14ac:dyDescent="0.25">
      <c r="B517" s="2"/>
      <c r="C517" s="2"/>
      <c r="E517" s="2"/>
      <c r="G517" s="4"/>
    </row>
    <row r="518" spans="2:7" ht="12.75" customHeight="1" x14ac:dyDescent="0.25">
      <c r="B518" s="2"/>
      <c r="C518" s="2"/>
      <c r="E518" s="2"/>
      <c r="G518" s="4"/>
    </row>
    <row r="519" spans="2:7" ht="12.75" customHeight="1" x14ac:dyDescent="0.25">
      <c r="B519" s="2"/>
      <c r="C519" s="2"/>
      <c r="E519" s="2"/>
      <c r="G519" s="4"/>
    </row>
    <row r="520" spans="2:7" ht="12.75" customHeight="1" x14ac:dyDescent="0.25">
      <c r="B520" s="2"/>
      <c r="C520" s="2"/>
      <c r="E520" s="2"/>
      <c r="G520" s="4"/>
    </row>
    <row r="521" spans="2:7" ht="12.75" customHeight="1" x14ac:dyDescent="0.25">
      <c r="B521" s="2"/>
      <c r="C521" s="2"/>
      <c r="E521" s="2"/>
      <c r="G521" s="4"/>
    </row>
    <row r="522" spans="2:7" ht="12.75" customHeight="1" x14ac:dyDescent="0.25">
      <c r="B522" s="2"/>
      <c r="C522" s="2"/>
      <c r="E522" s="2"/>
      <c r="G522" s="4"/>
    </row>
    <row r="523" spans="2:7" ht="12.75" customHeight="1" x14ac:dyDescent="0.25">
      <c r="B523" s="2"/>
      <c r="C523" s="2"/>
      <c r="E523" s="2"/>
      <c r="G523" s="4"/>
    </row>
    <row r="524" spans="2:7" ht="12.75" customHeight="1" x14ac:dyDescent="0.25">
      <c r="B524" s="2"/>
      <c r="C524" s="2"/>
      <c r="E524" s="2"/>
      <c r="G524" s="4"/>
    </row>
    <row r="525" spans="2:7" ht="12.75" customHeight="1" x14ac:dyDescent="0.25">
      <c r="B525" s="2"/>
      <c r="C525" s="2"/>
      <c r="E525" s="2"/>
      <c r="G525" s="4"/>
    </row>
    <row r="526" spans="2:7" ht="12.75" customHeight="1" x14ac:dyDescent="0.25">
      <c r="B526" s="2"/>
      <c r="C526" s="2"/>
      <c r="E526" s="2"/>
      <c r="G526" s="4"/>
    </row>
    <row r="527" spans="2:7" ht="12.75" customHeight="1" x14ac:dyDescent="0.25">
      <c r="B527" s="2"/>
      <c r="C527" s="2"/>
      <c r="E527" s="2"/>
      <c r="G527" s="4"/>
    </row>
    <row r="528" spans="2:7" ht="12.75" customHeight="1" x14ac:dyDescent="0.25">
      <c r="B528" s="2"/>
      <c r="C528" s="2"/>
      <c r="E528" s="2"/>
      <c r="G528" s="4"/>
    </row>
    <row r="529" spans="2:7" ht="12.75" customHeight="1" x14ac:dyDescent="0.25">
      <c r="B529" s="2"/>
      <c r="C529" s="2"/>
      <c r="E529" s="2"/>
      <c r="G529" s="4"/>
    </row>
    <row r="530" spans="2:7" ht="12.75" customHeight="1" x14ac:dyDescent="0.25">
      <c r="B530" s="2"/>
      <c r="C530" s="2"/>
      <c r="E530" s="2"/>
      <c r="G530" s="4"/>
    </row>
    <row r="531" spans="2:7" ht="12.75" customHeight="1" x14ac:dyDescent="0.25">
      <c r="B531" s="2"/>
      <c r="C531" s="2"/>
      <c r="E531" s="2"/>
      <c r="G531" s="4"/>
    </row>
    <row r="532" spans="2:7" ht="12.75" customHeight="1" x14ac:dyDescent="0.25">
      <c r="B532" s="2"/>
      <c r="C532" s="2"/>
      <c r="E532" s="2"/>
      <c r="G532" s="4"/>
    </row>
    <row r="533" spans="2:7" ht="12.75" customHeight="1" x14ac:dyDescent="0.25">
      <c r="B533" s="2"/>
      <c r="C533" s="2"/>
      <c r="E533" s="2"/>
      <c r="G533" s="4"/>
    </row>
    <row r="534" spans="2:7" ht="12.75" customHeight="1" x14ac:dyDescent="0.25">
      <c r="B534" s="2"/>
      <c r="C534" s="2"/>
      <c r="E534" s="2"/>
      <c r="G534" s="4"/>
    </row>
    <row r="535" spans="2:7" ht="12.75" customHeight="1" x14ac:dyDescent="0.25">
      <c r="B535" s="2"/>
      <c r="C535" s="2"/>
      <c r="E535" s="2"/>
      <c r="G535" s="4"/>
    </row>
    <row r="536" spans="2:7" ht="12.75" customHeight="1" x14ac:dyDescent="0.25">
      <c r="B536" s="2"/>
      <c r="C536" s="2"/>
      <c r="E536" s="2"/>
      <c r="G536" s="4"/>
    </row>
    <row r="537" spans="2:7" ht="12.75" customHeight="1" x14ac:dyDescent="0.25">
      <c r="B537" s="2"/>
      <c r="C537" s="2"/>
      <c r="E537" s="2"/>
      <c r="G537" s="4"/>
    </row>
    <row r="538" spans="2:7" ht="12.75" customHeight="1" x14ac:dyDescent="0.25">
      <c r="B538" s="2"/>
      <c r="C538" s="2"/>
      <c r="E538" s="2"/>
      <c r="G538" s="4"/>
    </row>
    <row r="539" spans="2:7" ht="12.75" customHeight="1" x14ac:dyDescent="0.25">
      <c r="B539" s="2"/>
      <c r="C539" s="2"/>
      <c r="E539" s="2"/>
      <c r="G539" s="4"/>
    </row>
    <row r="540" spans="2:7" ht="12.75" customHeight="1" x14ac:dyDescent="0.25">
      <c r="B540" s="2"/>
      <c r="C540" s="2"/>
      <c r="E540" s="2"/>
      <c r="G540" s="4"/>
    </row>
    <row r="541" spans="2:7" ht="12.75" customHeight="1" x14ac:dyDescent="0.25">
      <c r="B541" s="2"/>
      <c r="C541" s="2"/>
      <c r="E541" s="2"/>
      <c r="G541" s="4"/>
    </row>
    <row r="542" spans="2:7" ht="12.75" customHeight="1" x14ac:dyDescent="0.25">
      <c r="B542" s="2"/>
      <c r="C542" s="2"/>
      <c r="E542" s="2"/>
      <c r="G542" s="4"/>
    </row>
    <row r="543" spans="2:7" ht="12.75" customHeight="1" x14ac:dyDescent="0.25">
      <c r="B543" s="2"/>
      <c r="C543" s="2"/>
      <c r="E543" s="2"/>
      <c r="G543" s="4"/>
    </row>
    <row r="544" spans="2:7" ht="12.75" customHeight="1" x14ac:dyDescent="0.25">
      <c r="B544" s="2"/>
      <c r="C544" s="2"/>
      <c r="E544" s="2"/>
      <c r="G544" s="4"/>
    </row>
    <row r="545" spans="2:7" ht="12.75" customHeight="1" x14ac:dyDescent="0.25">
      <c r="B545" s="2"/>
      <c r="C545" s="2"/>
      <c r="E545" s="2"/>
      <c r="G545" s="4"/>
    </row>
    <row r="546" spans="2:7" ht="12.75" customHeight="1" x14ac:dyDescent="0.25">
      <c r="B546" s="2"/>
      <c r="C546" s="2"/>
      <c r="E546" s="2"/>
      <c r="G546" s="4"/>
    </row>
    <row r="547" spans="2:7" ht="12.75" customHeight="1" x14ac:dyDescent="0.25">
      <c r="B547" s="2"/>
      <c r="C547" s="2"/>
      <c r="E547" s="2"/>
      <c r="G547" s="4"/>
    </row>
    <row r="548" spans="2:7" ht="12.75" customHeight="1" x14ac:dyDescent="0.25">
      <c r="B548" s="2"/>
      <c r="C548" s="2"/>
      <c r="E548" s="2"/>
      <c r="G548" s="4"/>
    </row>
    <row r="549" spans="2:7" ht="12.75" customHeight="1" x14ac:dyDescent="0.25">
      <c r="B549" s="2"/>
      <c r="C549" s="2"/>
      <c r="E549" s="2"/>
      <c r="G549" s="4"/>
    </row>
    <row r="550" spans="2:7" ht="12.75" customHeight="1" x14ac:dyDescent="0.25">
      <c r="B550" s="2"/>
      <c r="C550" s="2"/>
      <c r="E550" s="2"/>
      <c r="G550" s="4"/>
    </row>
    <row r="551" spans="2:7" ht="12.75" customHeight="1" x14ac:dyDescent="0.25">
      <c r="B551" s="2"/>
      <c r="C551" s="2"/>
      <c r="E551" s="2"/>
      <c r="G551" s="4"/>
    </row>
    <row r="552" spans="2:7" ht="12.75" customHeight="1" x14ac:dyDescent="0.25">
      <c r="B552" s="2"/>
      <c r="C552" s="2"/>
      <c r="E552" s="2"/>
      <c r="G552" s="4"/>
    </row>
    <row r="553" spans="2:7" ht="12.75" customHeight="1" x14ac:dyDescent="0.25">
      <c r="B553" s="2"/>
      <c r="C553" s="2"/>
      <c r="E553" s="2"/>
      <c r="G553" s="4"/>
    </row>
    <row r="554" spans="2:7" ht="12.75" customHeight="1" x14ac:dyDescent="0.25">
      <c r="B554" s="2"/>
      <c r="C554" s="2"/>
      <c r="E554" s="2"/>
      <c r="G554" s="4"/>
    </row>
    <row r="555" spans="2:7" ht="12.75" customHeight="1" x14ac:dyDescent="0.25">
      <c r="B555" s="2"/>
      <c r="C555" s="2"/>
      <c r="E555" s="2"/>
      <c r="G555" s="4"/>
    </row>
    <row r="556" spans="2:7" ht="12.75" customHeight="1" x14ac:dyDescent="0.25">
      <c r="B556" s="2"/>
      <c r="C556" s="2"/>
      <c r="E556" s="2"/>
      <c r="G556" s="4"/>
    </row>
    <row r="557" spans="2:7" ht="12.75" customHeight="1" x14ac:dyDescent="0.25">
      <c r="B557" s="2"/>
      <c r="C557" s="2"/>
      <c r="E557" s="2"/>
      <c r="G557" s="4"/>
    </row>
    <row r="558" spans="2:7" ht="12.75" customHeight="1" x14ac:dyDescent="0.25">
      <c r="B558" s="2"/>
      <c r="C558" s="2"/>
      <c r="E558" s="2"/>
      <c r="G558" s="4"/>
    </row>
    <row r="559" spans="2:7" ht="12.75" customHeight="1" x14ac:dyDescent="0.25">
      <c r="B559" s="2"/>
      <c r="C559" s="2"/>
      <c r="E559" s="2"/>
      <c r="G559" s="4"/>
    </row>
    <row r="560" spans="2:7" ht="12.75" customHeight="1" x14ac:dyDescent="0.25">
      <c r="B560" s="2"/>
      <c r="C560" s="2"/>
      <c r="E560" s="2"/>
      <c r="G560" s="4"/>
    </row>
    <row r="561" spans="2:7" ht="12.75" customHeight="1" x14ac:dyDescent="0.25">
      <c r="B561" s="2"/>
      <c r="C561" s="2"/>
      <c r="E561" s="2"/>
      <c r="G561" s="4"/>
    </row>
    <row r="562" spans="2:7" ht="12.75" customHeight="1" x14ac:dyDescent="0.25">
      <c r="B562" s="2"/>
      <c r="C562" s="2"/>
      <c r="E562" s="2"/>
      <c r="G562" s="4"/>
    </row>
    <row r="563" spans="2:7" ht="12.75" customHeight="1" x14ac:dyDescent="0.25">
      <c r="B563" s="2"/>
      <c r="C563" s="2"/>
      <c r="E563" s="2"/>
      <c r="G563" s="4"/>
    </row>
    <row r="564" spans="2:7" ht="12.75" customHeight="1" x14ac:dyDescent="0.25">
      <c r="B564" s="2"/>
      <c r="C564" s="2"/>
      <c r="E564" s="2"/>
      <c r="G564" s="4"/>
    </row>
    <row r="565" spans="2:7" ht="12.75" customHeight="1" x14ac:dyDescent="0.25">
      <c r="B565" s="2"/>
      <c r="C565" s="2"/>
      <c r="E565" s="2"/>
      <c r="G565" s="4"/>
    </row>
    <row r="566" spans="2:7" ht="12.75" customHeight="1" x14ac:dyDescent="0.25">
      <c r="B566" s="2"/>
      <c r="C566" s="2"/>
      <c r="E566" s="2"/>
      <c r="G566" s="4"/>
    </row>
    <row r="567" spans="2:7" ht="12.75" customHeight="1" x14ac:dyDescent="0.25">
      <c r="B567" s="2"/>
      <c r="C567" s="2"/>
      <c r="E567" s="2"/>
      <c r="G567" s="4"/>
    </row>
    <row r="568" spans="2:7" ht="12.75" customHeight="1" x14ac:dyDescent="0.25">
      <c r="B568" s="2"/>
      <c r="C568" s="2"/>
      <c r="E568" s="2"/>
      <c r="G568" s="4"/>
    </row>
    <row r="569" spans="2:7" ht="12.75" customHeight="1" x14ac:dyDescent="0.25">
      <c r="B569" s="2"/>
      <c r="C569" s="2"/>
      <c r="E569" s="2"/>
      <c r="G569" s="4"/>
    </row>
    <row r="570" spans="2:7" ht="12.75" customHeight="1" x14ac:dyDescent="0.25">
      <c r="B570" s="2"/>
      <c r="C570" s="2"/>
      <c r="E570" s="2"/>
      <c r="G570" s="4"/>
    </row>
    <row r="571" spans="2:7" ht="12.75" customHeight="1" x14ac:dyDescent="0.25">
      <c r="B571" s="2"/>
      <c r="C571" s="2"/>
      <c r="E571" s="2"/>
      <c r="G571" s="4"/>
    </row>
    <row r="572" spans="2:7" ht="12.75" customHeight="1" x14ac:dyDescent="0.25">
      <c r="B572" s="2"/>
      <c r="C572" s="2"/>
      <c r="E572" s="2"/>
      <c r="G572" s="4"/>
    </row>
    <row r="573" spans="2:7" ht="12.75" customHeight="1" x14ac:dyDescent="0.25">
      <c r="B573" s="2"/>
      <c r="C573" s="2"/>
      <c r="E573" s="2"/>
      <c r="G573" s="4"/>
    </row>
    <row r="574" spans="2:7" ht="12.75" customHeight="1" x14ac:dyDescent="0.25">
      <c r="B574" s="2"/>
      <c r="C574" s="2"/>
      <c r="E574" s="2"/>
      <c r="G574" s="4"/>
    </row>
    <row r="575" spans="2:7" ht="12.75" customHeight="1" x14ac:dyDescent="0.25">
      <c r="B575" s="2"/>
      <c r="C575" s="2"/>
      <c r="E575" s="2"/>
      <c r="G575" s="4"/>
    </row>
    <row r="576" spans="2:7" ht="12.75" customHeight="1" x14ac:dyDescent="0.25">
      <c r="B576" s="2"/>
      <c r="C576" s="2"/>
      <c r="E576" s="2"/>
      <c r="G576" s="4"/>
    </row>
    <row r="577" spans="2:7" ht="12.75" customHeight="1" x14ac:dyDescent="0.25">
      <c r="B577" s="2"/>
      <c r="C577" s="2"/>
      <c r="E577" s="2"/>
      <c r="G577" s="4"/>
    </row>
    <row r="578" spans="2:7" ht="12.75" customHeight="1" x14ac:dyDescent="0.25">
      <c r="B578" s="2"/>
      <c r="C578" s="2"/>
      <c r="E578" s="2"/>
      <c r="G578" s="4"/>
    </row>
    <row r="579" spans="2:7" ht="12.75" customHeight="1" x14ac:dyDescent="0.25">
      <c r="B579" s="2"/>
      <c r="C579" s="2"/>
      <c r="E579" s="2"/>
      <c r="G579" s="4"/>
    </row>
    <row r="580" spans="2:7" ht="12.75" customHeight="1" x14ac:dyDescent="0.25">
      <c r="B580" s="2"/>
      <c r="C580" s="2"/>
      <c r="E580" s="2"/>
      <c r="G580" s="4"/>
    </row>
    <row r="581" spans="2:7" ht="12.75" customHeight="1" x14ac:dyDescent="0.25">
      <c r="B581" s="2"/>
      <c r="C581" s="2"/>
      <c r="E581" s="2"/>
      <c r="G581" s="4"/>
    </row>
    <row r="582" spans="2:7" ht="12.75" customHeight="1" x14ac:dyDescent="0.25">
      <c r="B582" s="2"/>
      <c r="C582" s="2"/>
      <c r="E582" s="2"/>
      <c r="G582" s="4"/>
    </row>
    <row r="583" spans="2:7" ht="12.75" customHeight="1" x14ac:dyDescent="0.25">
      <c r="B583" s="2"/>
      <c r="C583" s="2"/>
      <c r="E583" s="2"/>
      <c r="G583" s="4"/>
    </row>
    <row r="584" spans="2:7" ht="12.75" customHeight="1" x14ac:dyDescent="0.25">
      <c r="B584" s="2"/>
      <c r="C584" s="2"/>
      <c r="E584" s="2"/>
      <c r="G584" s="4"/>
    </row>
    <row r="585" spans="2:7" ht="12.75" customHeight="1" x14ac:dyDescent="0.25">
      <c r="B585" s="2"/>
      <c r="C585" s="2"/>
      <c r="E585" s="2"/>
      <c r="G585" s="4"/>
    </row>
    <row r="586" spans="2:7" ht="12.75" customHeight="1" x14ac:dyDescent="0.25">
      <c r="B586" s="2"/>
      <c r="C586" s="2"/>
      <c r="E586" s="2"/>
      <c r="G586" s="4"/>
    </row>
    <row r="587" spans="2:7" ht="12.75" customHeight="1" x14ac:dyDescent="0.25">
      <c r="B587" s="2"/>
      <c r="C587" s="2"/>
      <c r="E587" s="2"/>
      <c r="G587" s="4"/>
    </row>
    <row r="588" spans="2:7" ht="12.75" customHeight="1" x14ac:dyDescent="0.25">
      <c r="B588" s="2"/>
      <c r="C588" s="2"/>
      <c r="E588" s="2"/>
      <c r="G588" s="4"/>
    </row>
    <row r="589" spans="2:7" ht="12.75" customHeight="1" x14ac:dyDescent="0.25">
      <c r="B589" s="2"/>
      <c r="C589" s="2"/>
      <c r="E589" s="2"/>
      <c r="G589" s="4"/>
    </row>
    <row r="590" spans="2:7" ht="12.75" customHeight="1" x14ac:dyDescent="0.25">
      <c r="B590" s="2"/>
      <c r="C590" s="2"/>
      <c r="E590" s="2"/>
      <c r="G590" s="4"/>
    </row>
    <row r="591" spans="2:7" ht="12.75" customHeight="1" x14ac:dyDescent="0.25">
      <c r="B591" s="2"/>
      <c r="C591" s="2"/>
      <c r="E591" s="2"/>
      <c r="G591" s="4"/>
    </row>
    <row r="592" spans="2:7" ht="12.75" customHeight="1" x14ac:dyDescent="0.25">
      <c r="B592" s="2"/>
      <c r="C592" s="2"/>
      <c r="E592" s="2"/>
      <c r="G592" s="4"/>
    </row>
    <row r="593" spans="2:7" ht="12.75" customHeight="1" x14ac:dyDescent="0.25">
      <c r="B593" s="2"/>
      <c r="C593" s="2"/>
      <c r="E593" s="2"/>
      <c r="G593" s="4"/>
    </row>
    <row r="594" spans="2:7" ht="12.75" customHeight="1" x14ac:dyDescent="0.25">
      <c r="B594" s="2"/>
      <c r="C594" s="2"/>
      <c r="E594" s="2"/>
      <c r="G594" s="4"/>
    </row>
    <row r="595" spans="2:7" ht="12.75" customHeight="1" x14ac:dyDescent="0.25">
      <c r="B595" s="2"/>
      <c r="C595" s="2"/>
      <c r="E595" s="2"/>
      <c r="G595" s="4"/>
    </row>
    <row r="596" spans="2:7" ht="12.75" customHeight="1" x14ac:dyDescent="0.25">
      <c r="B596" s="2"/>
      <c r="C596" s="2"/>
      <c r="E596" s="2"/>
      <c r="G596" s="4"/>
    </row>
    <row r="597" spans="2:7" ht="12.75" customHeight="1" x14ac:dyDescent="0.25">
      <c r="B597" s="2"/>
      <c r="C597" s="2"/>
      <c r="E597" s="2"/>
      <c r="G597" s="4"/>
    </row>
    <row r="598" spans="2:7" ht="12.75" customHeight="1" x14ac:dyDescent="0.25">
      <c r="B598" s="2"/>
      <c r="C598" s="2"/>
      <c r="E598" s="2"/>
      <c r="G598" s="4"/>
    </row>
    <row r="599" spans="2:7" ht="12.75" customHeight="1" x14ac:dyDescent="0.25">
      <c r="B599" s="2"/>
      <c r="C599" s="2"/>
      <c r="E599" s="2"/>
      <c r="G599" s="4"/>
    </row>
    <row r="600" spans="2:7" ht="12.75" customHeight="1" x14ac:dyDescent="0.25">
      <c r="B600" s="2"/>
      <c r="C600" s="2"/>
      <c r="E600" s="2"/>
      <c r="G600" s="4"/>
    </row>
    <row r="601" spans="2:7" ht="12.75" customHeight="1" x14ac:dyDescent="0.25">
      <c r="B601" s="2"/>
      <c r="C601" s="2"/>
      <c r="E601" s="2"/>
      <c r="G601" s="4"/>
    </row>
    <row r="602" spans="2:7" ht="12.75" customHeight="1" x14ac:dyDescent="0.25">
      <c r="B602" s="2"/>
      <c r="C602" s="2"/>
      <c r="E602" s="2"/>
      <c r="G602" s="4"/>
    </row>
    <row r="603" spans="2:7" ht="12.75" customHeight="1" x14ac:dyDescent="0.25">
      <c r="B603" s="2"/>
      <c r="C603" s="2"/>
      <c r="E603" s="2"/>
      <c r="G603" s="4"/>
    </row>
    <row r="604" spans="2:7" ht="12.75" customHeight="1" x14ac:dyDescent="0.25">
      <c r="B604" s="2"/>
      <c r="C604" s="2"/>
      <c r="E604" s="2"/>
      <c r="G604" s="4"/>
    </row>
    <row r="605" spans="2:7" ht="12.75" customHeight="1" x14ac:dyDescent="0.25">
      <c r="B605" s="2"/>
      <c r="C605" s="2"/>
      <c r="E605" s="2"/>
      <c r="G605" s="4"/>
    </row>
    <row r="606" spans="2:7" ht="12.75" customHeight="1" x14ac:dyDescent="0.25">
      <c r="B606" s="2"/>
      <c r="C606" s="2"/>
      <c r="E606" s="2"/>
      <c r="G606" s="4"/>
    </row>
    <row r="607" spans="2:7" ht="12.75" customHeight="1" x14ac:dyDescent="0.25">
      <c r="B607" s="2"/>
      <c r="C607" s="2"/>
      <c r="E607" s="2"/>
      <c r="G607" s="4"/>
    </row>
    <row r="608" spans="2:7" ht="12.75" customHeight="1" x14ac:dyDescent="0.25">
      <c r="B608" s="2"/>
      <c r="C608" s="2"/>
      <c r="E608" s="2"/>
      <c r="G608" s="4"/>
    </row>
    <row r="609" spans="2:7" ht="12.75" customHeight="1" x14ac:dyDescent="0.25">
      <c r="B609" s="2"/>
      <c r="C609" s="2"/>
      <c r="E609" s="2"/>
      <c r="G609" s="4"/>
    </row>
    <row r="610" spans="2:7" ht="12.75" customHeight="1" x14ac:dyDescent="0.25">
      <c r="B610" s="2"/>
      <c r="C610" s="2"/>
      <c r="E610" s="2"/>
      <c r="G610" s="4"/>
    </row>
    <row r="611" spans="2:7" ht="12.75" customHeight="1" x14ac:dyDescent="0.25">
      <c r="B611" s="2"/>
      <c r="C611" s="2"/>
      <c r="E611" s="2"/>
      <c r="G611" s="4"/>
    </row>
    <row r="612" spans="2:7" ht="12.75" customHeight="1" x14ac:dyDescent="0.25">
      <c r="B612" s="2"/>
      <c r="C612" s="2"/>
      <c r="E612" s="2"/>
      <c r="G612" s="4"/>
    </row>
    <row r="613" spans="2:7" ht="12.75" customHeight="1" x14ac:dyDescent="0.25">
      <c r="B613" s="2"/>
      <c r="C613" s="2"/>
      <c r="E613" s="2"/>
      <c r="G613" s="4"/>
    </row>
    <row r="614" spans="2:7" ht="12.75" customHeight="1" x14ac:dyDescent="0.25">
      <c r="B614" s="2"/>
      <c r="C614" s="2"/>
      <c r="E614" s="2"/>
      <c r="G614" s="4"/>
    </row>
    <row r="615" spans="2:7" ht="12.75" customHeight="1" x14ac:dyDescent="0.25">
      <c r="B615" s="2"/>
      <c r="C615" s="2"/>
      <c r="E615" s="2"/>
      <c r="G615" s="4"/>
    </row>
    <row r="616" spans="2:7" ht="12.75" customHeight="1" x14ac:dyDescent="0.25">
      <c r="B616" s="2"/>
      <c r="C616" s="2"/>
      <c r="E616" s="2"/>
      <c r="G616" s="4"/>
    </row>
    <row r="617" spans="2:7" ht="12.75" customHeight="1" x14ac:dyDescent="0.25">
      <c r="B617" s="2"/>
      <c r="C617" s="2"/>
      <c r="E617" s="2"/>
      <c r="G617" s="4"/>
    </row>
    <row r="618" spans="2:7" ht="12.75" customHeight="1" x14ac:dyDescent="0.25">
      <c r="B618" s="2"/>
      <c r="C618" s="2"/>
      <c r="E618" s="2"/>
      <c r="G618" s="4"/>
    </row>
    <row r="619" spans="2:7" ht="12.75" customHeight="1" x14ac:dyDescent="0.25">
      <c r="B619" s="2"/>
      <c r="C619" s="2"/>
      <c r="E619" s="2"/>
      <c r="G619" s="4"/>
    </row>
    <row r="620" spans="2:7" ht="12.75" customHeight="1" x14ac:dyDescent="0.25">
      <c r="B620" s="2"/>
      <c r="C620" s="2"/>
      <c r="E620" s="2"/>
      <c r="G620" s="4"/>
    </row>
    <row r="621" spans="2:7" ht="12.75" customHeight="1" x14ac:dyDescent="0.25">
      <c r="B621" s="2"/>
      <c r="C621" s="2"/>
      <c r="E621" s="2"/>
      <c r="G621" s="4"/>
    </row>
    <row r="622" spans="2:7" ht="12.75" customHeight="1" x14ac:dyDescent="0.25">
      <c r="B622" s="2"/>
      <c r="C622" s="2"/>
      <c r="E622" s="2"/>
      <c r="G622" s="4"/>
    </row>
    <row r="623" spans="2:7" ht="12.75" customHeight="1" x14ac:dyDescent="0.25">
      <c r="B623" s="2"/>
      <c r="C623" s="2"/>
      <c r="E623" s="2"/>
      <c r="G623" s="4"/>
    </row>
    <row r="624" spans="2:7" ht="12.75" customHeight="1" x14ac:dyDescent="0.25">
      <c r="B624" s="2"/>
      <c r="C624" s="2"/>
      <c r="E624" s="2"/>
      <c r="G624" s="4"/>
    </row>
    <row r="625" spans="2:7" ht="12.75" customHeight="1" x14ac:dyDescent="0.25">
      <c r="B625" s="2"/>
      <c r="C625" s="2"/>
      <c r="E625" s="2"/>
      <c r="G625" s="4"/>
    </row>
    <row r="626" spans="2:7" ht="12.75" customHeight="1" x14ac:dyDescent="0.25">
      <c r="B626" s="2"/>
      <c r="C626" s="2"/>
      <c r="E626" s="2"/>
      <c r="G626" s="4"/>
    </row>
    <row r="627" spans="2:7" ht="12.75" customHeight="1" x14ac:dyDescent="0.25">
      <c r="B627" s="2"/>
      <c r="C627" s="2"/>
      <c r="E627" s="2"/>
      <c r="G627" s="4"/>
    </row>
    <row r="628" spans="2:7" ht="12.75" customHeight="1" x14ac:dyDescent="0.25">
      <c r="B628" s="2"/>
      <c r="C628" s="2"/>
      <c r="E628" s="2"/>
      <c r="G628" s="4"/>
    </row>
    <row r="629" spans="2:7" ht="12.75" customHeight="1" x14ac:dyDescent="0.25">
      <c r="B629" s="2"/>
      <c r="C629" s="2"/>
      <c r="E629" s="2"/>
      <c r="G629" s="4"/>
    </row>
    <row r="630" spans="2:7" ht="12.75" customHeight="1" x14ac:dyDescent="0.25">
      <c r="B630" s="2"/>
      <c r="C630" s="2"/>
      <c r="E630" s="2"/>
      <c r="G630" s="4"/>
    </row>
    <row r="631" spans="2:7" ht="12.75" customHeight="1" x14ac:dyDescent="0.25">
      <c r="B631" s="2"/>
      <c r="C631" s="2"/>
      <c r="E631" s="2"/>
      <c r="G631" s="4"/>
    </row>
    <row r="632" spans="2:7" ht="12.75" customHeight="1" x14ac:dyDescent="0.25">
      <c r="B632" s="2"/>
      <c r="C632" s="2"/>
      <c r="E632" s="2"/>
      <c r="G632" s="4"/>
    </row>
    <row r="633" spans="2:7" ht="12.75" customHeight="1" x14ac:dyDescent="0.25">
      <c r="B633" s="2"/>
      <c r="C633" s="2"/>
      <c r="E633" s="2"/>
      <c r="G633" s="4"/>
    </row>
    <row r="634" spans="2:7" ht="12.75" customHeight="1" x14ac:dyDescent="0.25">
      <c r="B634" s="2"/>
      <c r="C634" s="2"/>
      <c r="E634" s="2"/>
      <c r="G634" s="4"/>
    </row>
    <row r="635" spans="2:7" ht="12.75" customHeight="1" x14ac:dyDescent="0.25">
      <c r="B635" s="2"/>
      <c r="C635" s="2"/>
      <c r="E635" s="2"/>
      <c r="G635" s="4"/>
    </row>
    <row r="636" spans="2:7" ht="12.75" customHeight="1" x14ac:dyDescent="0.25">
      <c r="B636" s="2"/>
      <c r="C636" s="2"/>
      <c r="E636" s="2"/>
      <c r="G636" s="4"/>
    </row>
    <row r="637" spans="2:7" ht="12.75" customHeight="1" x14ac:dyDescent="0.25">
      <c r="B637" s="2"/>
      <c r="C637" s="2"/>
      <c r="E637" s="2"/>
      <c r="G637" s="4"/>
    </row>
    <row r="638" spans="2:7" ht="12.75" customHeight="1" x14ac:dyDescent="0.25">
      <c r="B638" s="2"/>
      <c r="C638" s="2"/>
      <c r="E638" s="2"/>
      <c r="G638" s="4"/>
    </row>
    <row r="639" spans="2:7" ht="12.75" customHeight="1" x14ac:dyDescent="0.25">
      <c r="B639" s="2"/>
      <c r="C639" s="2"/>
      <c r="E639" s="2"/>
      <c r="G639" s="4"/>
    </row>
    <row r="640" spans="2:7" ht="12.75" customHeight="1" x14ac:dyDescent="0.25">
      <c r="B640" s="2"/>
      <c r="C640" s="2"/>
      <c r="E640" s="2"/>
      <c r="G640" s="4"/>
    </row>
    <row r="641" spans="2:7" ht="12.75" customHeight="1" x14ac:dyDescent="0.25">
      <c r="B641" s="2"/>
      <c r="C641" s="2"/>
      <c r="E641" s="2"/>
      <c r="G641" s="4"/>
    </row>
    <row r="642" spans="2:7" ht="12.75" customHeight="1" x14ac:dyDescent="0.25">
      <c r="B642" s="2"/>
      <c r="C642" s="2"/>
      <c r="E642" s="2"/>
      <c r="G642" s="4"/>
    </row>
    <row r="643" spans="2:7" ht="12.75" customHeight="1" x14ac:dyDescent="0.25">
      <c r="B643" s="2"/>
      <c r="C643" s="2"/>
      <c r="E643" s="2"/>
      <c r="G643" s="4"/>
    </row>
    <row r="644" spans="2:7" ht="12.75" customHeight="1" x14ac:dyDescent="0.25">
      <c r="B644" s="2"/>
      <c r="C644" s="2"/>
      <c r="E644" s="2"/>
      <c r="G644" s="4"/>
    </row>
    <row r="645" spans="2:7" ht="12.75" customHeight="1" x14ac:dyDescent="0.25">
      <c r="B645" s="2"/>
      <c r="C645" s="2"/>
      <c r="E645" s="2"/>
      <c r="G645" s="4"/>
    </row>
    <row r="646" spans="2:7" ht="12.75" customHeight="1" x14ac:dyDescent="0.25">
      <c r="B646" s="2"/>
      <c r="C646" s="2"/>
      <c r="E646" s="2"/>
      <c r="G646" s="4"/>
    </row>
    <row r="647" spans="2:7" ht="12.75" customHeight="1" x14ac:dyDescent="0.25">
      <c r="B647" s="2"/>
      <c r="C647" s="2"/>
      <c r="E647" s="2"/>
      <c r="G647" s="4"/>
    </row>
    <row r="648" spans="2:7" ht="12.75" customHeight="1" x14ac:dyDescent="0.25">
      <c r="B648" s="2"/>
      <c r="C648" s="2"/>
      <c r="E648" s="2"/>
      <c r="G648" s="4"/>
    </row>
    <row r="649" spans="2:7" ht="12.75" customHeight="1" x14ac:dyDescent="0.25">
      <c r="B649" s="2"/>
      <c r="C649" s="2"/>
      <c r="E649" s="2"/>
      <c r="G649" s="4"/>
    </row>
    <row r="650" spans="2:7" ht="12.75" customHeight="1" x14ac:dyDescent="0.25">
      <c r="B650" s="2"/>
      <c r="C650" s="2"/>
      <c r="E650" s="2"/>
      <c r="G650" s="4"/>
    </row>
    <row r="651" spans="2:7" ht="12.75" customHeight="1" x14ac:dyDescent="0.25">
      <c r="B651" s="2"/>
      <c r="C651" s="2"/>
      <c r="E651" s="2"/>
      <c r="G651" s="4"/>
    </row>
    <row r="652" spans="2:7" ht="12.75" customHeight="1" x14ac:dyDescent="0.25">
      <c r="B652" s="2"/>
      <c r="C652" s="2"/>
      <c r="E652" s="2"/>
      <c r="G652" s="4"/>
    </row>
    <row r="653" spans="2:7" ht="12.75" customHeight="1" x14ac:dyDescent="0.25">
      <c r="B653" s="2"/>
      <c r="C653" s="2"/>
      <c r="E653" s="2"/>
      <c r="G653" s="4"/>
    </row>
    <row r="654" spans="2:7" ht="12.75" customHeight="1" x14ac:dyDescent="0.25">
      <c r="B654" s="2"/>
      <c r="C654" s="2"/>
      <c r="E654" s="2"/>
      <c r="G654" s="4"/>
    </row>
    <row r="655" spans="2:7" ht="12.75" customHeight="1" x14ac:dyDescent="0.25">
      <c r="B655" s="2"/>
      <c r="C655" s="2"/>
      <c r="E655" s="2"/>
      <c r="G655" s="4"/>
    </row>
    <row r="656" spans="2:7" ht="12.75" customHeight="1" x14ac:dyDescent="0.25">
      <c r="B656" s="2"/>
      <c r="C656" s="2"/>
      <c r="E656" s="2"/>
      <c r="G656" s="4"/>
    </row>
    <row r="657" spans="2:7" ht="12.75" customHeight="1" x14ac:dyDescent="0.25">
      <c r="B657" s="2"/>
      <c r="C657" s="2"/>
      <c r="E657" s="2"/>
      <c r="G657" s="4"/>
    </row>
    <row r="658" spans="2:7" ht="12.75" customHeight="1" x14ac:dyDescent="0.25">
      <c r="B658" s="2"/>
      <c r="C658" s="2"/>
      <c r="E658" s="2"/>
      <c r="G658" s="4"/>
    </row>
    <row r="659" spans="2:7" ht="12.75" customHeight="1" x14ac:dyDescent="0.25">
      <c r="B659" s="2"/>
      <c r="C659" s="2"/>
      <c r="E659" s="2"/>
      <c r="G659" s="4"/>
    </row>
    <row r="660" spans="2:7" ht="12.75" customHeight="1" x14ac:dyDescent="0.25">
      <c r="B660" s="2"/>
      <c r="C660" s="2"/>
      <c r="E660" s="2"/>
      <c r="G660" s="4"/>
    </row>
    <row r="661" spans="2:7" ht="12.75" customHeight="1" x14ac:dyDescent="0.25">
      <c r="B661" s="2"/>
      <c r="C661" s="2"/>
      <c r="E661" s="2"/>
      <c r="G661" s="4"/>
    </row>
    <row r="662" spans="2:7" ht="12.75" customHeight="1" x14ac:dyDescent="0.25">
      <c r="B662" s="2"/>
      <c r="C662" s="2"/>
      <c r="E662" s="2"/>
      <c r="G662" s="4"/>
    </row>
    <row r="663" spans="2:7" ht="12.75" customHeight="1" x14ac:dyDescent="0.25">
      <c r="B663" s="2"/>
      <c r="C663" s="2"/>
      <c r="E663" s="2"/>
      <c r="G663" s="4"/>
    </row>
    <row r="664" spans="2:7" ht="12.75" customHeight="1" x14ac:dyDescent="0.25">
      <c r="B664" s="2"/>
      <c r="C664" s="2"/>
      <c r="E664" s="2"/>
      <c r="G664" s="4"/>
    </row>
    <row r="665" spans="2:7" ht="12.75" customHeight="1" x14ac:dyDescent="0.25">
      <c r="B665" s="2"/>
      <c r="C665" s="2"/>
      <c r="E665" s="2"/>
      <c r="G665" s="4"/>
    </row>
    <row r="666" spans="2:7" ht="12.75" customHeight="1" x14ac:dyDescent="0.25">
      <c r="B666" s="2"/>
      <c r="C666" s="2"/>
      <c r="E666" s="2"/>
      <c r="G666" s="4"/>
    </row>
    <row r="667" spans="2:7" ht="12.75" customHeight="1" x14ac:dyDescent="0.25">
      <c r="B667" s="2"/>
      <c r="C667" s="2"/>
      <c r="E667" s="2"/>
      <c r="G667" s="4"/>
    </row>
    <row r="668" spans="2:7" ht="12.75" customHeight="1" x14ac:dyDescent="0.25">
      <c r="B668" s="2"/>
      <c r="C668" s="2"/>
      <c r="E668" s="2"/>
      <c r="G668" s="4"/>
    </row>
    <row r="669" spans="2:7" ht="12.75" customHeight="1" x14ac:dyDescent="0.25">
      <c r="B669" s="2"/>
      <c r="C669" s="2"/>
      <c r="E669" s="2"/>
      <c r="G669" s="4"/>
    </row>
    <row r="670" spans="2:7" ht="12.75" customHeight="1" x14ac:dyDescent="0.25">
      <c r="B670" s="2"/>
      <c r="C670" s="2"/>
      <c r="E670" s="2"/>
      <c r="G670" s="4"/>
    </row>
    <row r="671" spans="2:7" ht="12.75" customHeight="1" x14ac:dyDescent="0.25">
      <c r="B671" s="2"/>
      <c r="C671" s="2"/>
      <c r="E671" s="2"/>
      <c r="G671" s="4"/>
    </row>
    <row r="672" spans="2:7" ht="12.75" customHeight="1" x14ac:dyDescent="0.25">
      <c r="B672" s="2"/>
      <c r="C672" s="2"/>
      <c r="E672" s="2"/>
      <c r="G672" s="4"/>
    </row>
    <row r="673" spans="2:7" ht="12.75" customHeight="1" x14ac:dyDescent="0.25">
      <c r="B673" s="2"/>
      <c r="C673" s="2"/>
      <c r="E673" s="2"/>
      <c r="G673" s="4"/>
    </row>
    <row r="674" spans="2:7" ht="12.75" customHeight="1" x14ac:dyDescent="0.25">
      <c r="B674" s="2"/>
      <c r="C674" s="2"/>
      <c r="E674" s="2"/>
      <c r="G674" s="4"/>
    </row>
    <row r="675" spans="2:7" ht="12.75" customHeight="1" x14ac:dyDescent="0.25">
      <c r="B675" s="2"/>
      <c r="C675" s="2"/>
      <c r="E675" s="2"/>
      <c r="G675" s="4"/>
    </row>
    <row r="676" spans="2:7" ht="12.75" customHeight="1" x14ac:dyDescent="0.25">
      <c r="B676" s="2"/>
      <c r="C676" s="2"/>
      <c r="E676" s="2"/>
      <c r="G676" s="4"/>
    </row>
    <row r="677" spans="2:7" ht="12.75" customHeight="1" x14ac:dyDescent="0.25">
      <c r="B677" s="2"/>
      <c r="C677" s="2"/>
      <c r="E677" s="2"/>
      <c r="G677" s="4"/>
    </row>
    <row r="678" spans="2:7" ht="12.75" customHeight="1" x14ac:dyDescent="0.25">
      <c r="B678" s="2"/>
      <c r="C678" s="2"/>
      <c r="E678" s="2"/>
      <c r="G678" s="4"/>
    </row>
    <row r="679" spans="2:7" ht="12.75" customHeight="1" x14ac:dyDescent="0.25">
      <c r="B679" s="2"/>
      <c r="C679" s="2"/>
      <c r="E679" s="2"/>
      <c r="G679" s="4"/>
    </row>
    <row r="680" spans="2:7" ht="12.75" customHeight="1" x14ac:dyDescent="0.25">
      <c r="B680" s="2"/>
      <c r="C680" s="2"/>
      <c r="E680" s="2"/>
      <c r="G680" s="4"/>
    </row>
    <row r="681" spans="2:7" ht="12.75" customHeight="1" x14ac:dyDescent="0.25">
      <c r="B681" s="2"/>
      <c r="C681" s="2"/>
      <c r="E681" s="2"/>
      <c r="G681" s="4"/>
    </row>
    <row r="682" spans="2:7" ht="12.75" customHeight="1" x14ac:dyDescent="0.25">
      <c r="B682" s="2"/>
      <c r="C682" s="2"/>
      <c r="E682" s="2"/>
      <c r="G682" s="4"/>
    </row>
    <row r="683" spans="2:7" ht="12.75" customHeight="1" x14ac:dyDescent="0.25">
      <c r="B683" s="2"/>
      <c r="C683" s="2"/>
      <c r="E683" s="2"/>
      <c r="G683" s="4"/>
    </row>
    <row r="684" spans="2:7" ht="12.75" customHeight="1" x14ac:dyDescent="0.25">
      <c r="B684" s="2"/>
      <c r="C684" s="2"/>
      <c r="E684" s="2"/>
      <c r="G684" s="4"/>
    </row>
    <row r="685" spans="2:7" ht="12.75" customHeight="1" x14ac:dyDescent="0.25">
      <c r="B685" s="2"/>
      <c r="C685" s="2"/>
      <c r="E685" s="2"/>
      <c r="G685" s="4"/>
    </row>
    <row r="686" spans="2:7" ht="12.75" customHeight="1" x14ac:dyDescent="0.25">
      <c r="B686" s="2"/>
      <c r="C686" s="2"/>
      <c r="E686" s="2"/>
      <c r="G686" s="4"/>
    </row>
    <row r="687" spans="2:7" ht="12.75" customHeight="1" x14ac:dyDescent="0.25">
      <c r="B687" s="2"/>
      <c r="C687" s="2"/>
      <c r="E687" s="2"/>
      <c r="G687" s="4"/>
    </row>
    <row r="688" spans="2:7" ht="12.75" customHeight="1" x14ac:dyDescent="0.25">
      <c r="B688" s="2"/>
      <c r="C688" s="2"/>
      <c r="E688" s="2"/>
      <c r="G688" s="4"/>
    </row>
    <row r="689" spans="2:7" ht="12.75" customHeight="1" x14ac:dyDescent="0.25">
      <c r="B689" s="2"/>
      <c r="C689" s="2"/>
      <c r="E689" s="2"/>
      <c r="G689" s="4"/>
    </row>
    <row r="690" spans="2:7" ht="12.75" customHeight="1" x14ac:dyDescent="0.25">
      <c r="B690" s="2"/>
      <c r="C690" s="2"/>
      <c r="E690" s="2"/>
      <c r="G690" s="4"/>
    </row>
    <row r="691" spans="2:7" ht="12.75" customHeight="1" x14ac:dyDescent="0.25">
      <c r="B691" s="2"/>
      <c r="C691" s="2"/>
      <c r="E691" s="2"/>
      <c r="G691" s="4"/>
    </row>
    <row r="692" spans="2:7" ht="12.75" customHeight="1" x14ac:dyDescent="0.25">
      <c r="B692" s="2"/>
      <c r="C692" s="2"/>
      <c r="E692" s="2"/>
      <c r="G692" s="4"/>
    </row>
    <row r="693" spans="2:7" ht="12.75" customHeight="1" x14ac:dyDescent="0.25">
      <c r="B693" s="2"/>
      <c r="C693" s="2"/>
      <c r="E693" s="2"/>
      <c r="G693" s="4"/>
    </row>
    <row r="694" spans="2:7" ht="12.75" customHeight="1" x14ac:dyDescent="0.25">
      <c r="B694" s="2"/>
      <c r="C694" s="2"/>
      <c r="E694" s="2"/>
      <c r="G694" s="4"/>
    </row>
    <row r="695" spans="2:7" ht="12.75" customHeight="1" x14ac:dyDescent="0.25">
      <c r="B695" s="2"/>
      <c r="C695" s="2"/>
      <c r="E695" s="2"/>
      <c r="G695" s="4"/>
    </row>
    <row r="696" spans="2:7" ht="12.75" customHeight="1" x14ac:dyDescent="0.25">
      <c r="B696" s="2"/>
      <c r="C696" s="2"/>
      <c r="E696" s="2"/>
      <c r="G696" s="4"/>
    </row>
    <row r="697" spans="2:7" ht="12.75" customHeight="1" x14ac:dyDescent="0.25">
      <c r="B697" s="2"/>
      <c r="C697" s="2"/>
      <c r="E697" s="2"/>
      <c r="G697" s="4"/>
    </row>
    <row r="698" spans="2:7" ht="12.75" customHeight="1" x14ac:dyDescent="0.25">
      <c r="B698" s="2"/>
      <c r="C698" s="2"/>
      <c r="E698" s="2"/>
      <c r="G698" s="4"/>
    </row>
    <row r="699" spans="2:7" ht="12.75" customHeight="1" x14ac:dyDescent="0.25">
      <c r="B699" s="2"/>
      <c r="C699" s="2"/>
      <c r="E699" s="2"/>
      <c r="G699" s="4"/>
    </row>
    <row r="700" spans="2:7" ht="12.75" customHeight="1" x14ac:dyDescent="0.25">
      <c r="B700" s="2"/>
      <c r="C700" s="2"/>
      <c r="E700" s="2"/>
      <c r="G700" s="4"/>
    </row>
    <row r="701" spans="2:7" ht="12.75" customHeight="1" x14ac:dyDescent="0.25">
      <c r="B701" s="2"/>
      <c r="C701" s="2"/>
      <c r="E701" s="2"/>
      <c r="G701" s="4"/>
    </row>
    <row r="702" spans="2:7" ht="12.75" customHeight="1" x14ac:dyDescent="0.25">
      <c r="B702" s="2"/>
      <c r="C702" s="2"/>
      <c r="E702" s="2"/>
      <c r="G702" s="4"/>
    </row>
    <row r="703" spans="2:7" ht="12.75" customHeight="1" x14ac:dyDescent="0.25">
      <c r="B703" s="2"/>
      <c r="C703" s="2"/>
      <c r="E703" s="2"/>
      <c r="G703" s="4"/>
    </row>
    <row r="704" spans="2:7" ht="12.75" customHeight="1" x14ac:dyDescent="0.25">
      <c r="B704" s="2"/>
      <c r="C704" s="2"/>
      <c r="E704" s="2"/>
      <c r="G704" s="4"/>
    </row>
    <row r="705" spans="2:7" ht="12.75" customHeight="1" x14ac:dyDescent="0.25">
      <c r="B705" s="2"/>
      <c r="C705" s="2"/>
      <c r="E705" s="2"/>
      <c r="G705" s="4"/>
    </row>
    <row r="706" spans="2:7" ht="12.75" customHeight="1" x14ac:dyDescent="0.25">
      <c r="B706" s="2"/>
      <c r="C706" s="2"/>
      <c r="E706" s="2"/>
      <c r="G706" s="4"/>
    </row>
    <row r="707" spans="2:7" ht="12.75" customHeight="1" x14ac:dyDescent="0.25">
      <c r="B707" s="2"/>
      <c r="C707" s="2"/>
      <c r="E707" s="2"/>
      <c r="G707" s="4"/>
    </row>
    <row r="708" spans="2:7" ht="12.75" customHeight="1" x14ac:dyDescent="0.25">
      <c r="B708" s="2"/>
      <c r="C708" s="2"/>
      <c r="E708" s="2"/>
      <c r="G708" s="4"/>
    </row>
    <row r="709" spans="2:7" ht="12.75" customHeight="1" x14ac:dyDescent="0.25">
      <c r="B709" s="2"/>
      <c r="C709" s="2"/>
      <c r="E709" s="2"/>
      <c r="G709" s="4"/>
    </row>
    <row r="710" spans="2:7" ht="12.75" customHeight="1" x14ac:dyDescent="0.25">
      <c r="B710" s="2"/>
      <c r="C710" s="2"/>
      <c r="E710" s="2"/>
      <c r="G710" s="4"/>
    </row>
    <row r="711" spans="2:7" ht="12.75" customHeight="1" x14ac:dyDescent="0.25">
      <c r="B711" s="2"/>
      <c r="C711" s="2"/>
      <c r="E711" s="2"/>
      <c r="G711" s="4"/>
    </row>
    <row r="712" spans="2:7" ht="12.75" customHeight="1" x14ac:dyDescent="0.25">
      <c r="B712" s="2"/>
      <c r="C712" s="2"/>
      <c r="E712" s="2"/>
      <c r="G712" s="4"/>
    </row>
    <row r="713" spans="2:7" ht="12.75" customHeight="1" x14ac:dyDescent="0.25">
      <c r="B713" s="2"/>
      <c r="C713" s="2"/>
      <c r="E713" s="2"/>
      <c r="G713" s="4"/>
    </row>
    <row r="714" spans="2:7" ht="12.75" customHeight="1" x14ac:dyDescent="0.25">
      <c r="B714" s="2"/>
      <c r="C714" s="2"/>
      <c r="E714" s="2"/>
      <c r="G714" s="4"/>
    </row>
    <row r="715" spans="2:7" ht="12.75" customHeight="1" x14ac:dyDescent="0.25">
      <c r="B715" s="2"/>
      <c r="C715" s="2"/>
      <c r="E715" s="2"/>
      <c r="G715" s="4"/>
    </row>
    <row r="716" spans="2:7" ht="12.75" customHeight="1" x14ac:dyDescent="0.25">
      <c r="B716" s="2"/>
      <c r="C716" s="2"/>
      <c r="E716" s="2"/>
      <c r="G716" s="4"/>
    </row>
    <row r="717" spans="2:7" ht="12.75" customHeight="1" x14ac:dyDescent="0.25">
      <c r="B717" s="2"/>
      <c r="C717" s="2"/>
      <c r="E717" s="2"/>
      <c r="G717" s="4"/>
    </row>
    <row r="718" spans="2:7" ht="12.75" customHeight="1" x14ac:dyDescent="0.25">
      <c r="B718" s="2"/>
      <c r="C718" s="2"/>
      <c r="E718" s="2"/>
      <c r="G718" s="4"/>
    </row>
    <row r="719" spans="2:7" ht="12.75" customHeight="1" x14ac:dyDescent="0.25">
      <c r="B719" s="2"/>
      <c r="C719" s="2"/>
      <c r="E719" s="2"/>
      <c r="G719" s="4"/>
    </row>
    <row r="720" spans="2:7" ht="12.75" customHeight="1" x14ac:dyDescent="0.25">
      <c r="B720" s="2"/>
      <c r="C720" s="2"/>
      <c r="E720" s="2"/>
      <c r="G720" s="4"/>
    </row>
    <row r="721" spans="2:7" ht="12.75" customHeight="1" x14ac:dyDescent="0.25">
      <c r="B721" s="2"/>
      <c r="C721" s="2"/>
      <c r="E721" s="2"/>
      <c r="G721" s="4"/>
    </row>
    <row r="722" spans="2:7" ht="12.75" customHeight="1" x14ac:dyDescent="0.25">
      <c r="B722" s="2"/>
      <c r="C722" s="2"/>
      <c r="E722" s="2"/>
      <c r="G722" s="4"/>
    </row>
    <row r="723" spans="2:7" ht="12.75" customHeight="1" x14ac:dyDescent="0.25">
      <c r="B723" s="2"/>
      <c r="C723" s="2"/>
      <c r="E723" s="2"/>
      <c r="G723" s="4"/>
    </row>
    <row r="724" spans="2:7" ht="12.75" customHeight="1" x14ac:dyDescent="0.25">
      <c r="B724" s="2"/>
      <c r="C724" s="2"/>
      <c r="E724" s="2"/>
      <c r="G724" s="4"/>
    </row>
    <row r="725" spans="2:7" ht="12.75" customHeight="1" x14ac:dyDescent="0.25">
      <c r="B725" s="2"/>
      <c r="C725" s="2"/>
      <c r="E725" s="2"/>
      <c r="G725" s="4"/>
    </row>
    <row r="726" spans="2:7" ht="12.75" customHeight="1" x14ac:dyDescent="0.25">
      <c r="B726" s="2"/>
      <c r="C726" s="2"/>
      <c r="E726" s="2"/>
      <c r="G726" s="4"/>
    </row>
    <row r="727" spans="2:7" ht="12.75" customHeight="1" x14ac:dyDescent="0.25">
      <c r="B727" s="2"/>
      <c r="C727" s="2"/>
      <c r="E727" s="2"/>
      <c r="G727" s="4"/>
    </row>
    <row r="728" spans="2:7" ht="12.75" customHeight="1" x14ac:dyDescent="0.25">
      <c r="B728" s="2"/>
      <c r="C728" s="2"/>
      <c r="E728" s="2"/>
      <c r="G728" s="4"/>
    </row>
    <row r="729" spans="2:7" ht="12.75" customHeight="1" x14ac:dyDescent="0.25">
      <c r="B729" s="2"/>
      <c r="C729" s="2"/>
      <c r="E729" s="2"/>
      <c r="G729" s="4"/>
    </row>
    <row r="730" spans="2:7" ht="12.75" customHeight="1" x14ac:dyDescent="0.25">
      <c r="B730" s="2"/>
      <c r="C730" s="2"/>
      <c r="E730" s="2"/>
      <c r="G730" s="4"/>
    </row>
    <row r="731" spans="2:7" ht="12.75" customHeight="1" x14ac:dyDescent="0.25">
      <c r="B731" s="2"/>
      <c r="C731" s="2"/>
      <c r="E731" s="2"/>
      <c r="G731" s="4"/>
    </row>
    <row r="732" spans="2:7" ht="12.75" customHeight="1" x14ac:dyDescent="0.25">
      <c r="B732" s="2"/>
      <c r="C732" s="2"/>
      <c r="E732" s="2"/>
      <c r="G732" s="4"/>
    </row>
    <row r="733" spans="2:7" ht="12.75" customHeight="1" x14ac:dyDescent="0.25">
      <c r="B733" s="2"/>
      <c r="C733" s="2"/>
      <c r="E733" s="2"/>
      <c r="G733" s="4"/>
    </row>
    <row r="734" spans="2:7" ht="12.75" customHeight="1" x14ac:dyDescent="0.25">
      <c r="B734" s="2"/>
      <c r="C734" s="2"/>
      <c r="E734" s="2"/>
      <c r="G734" s="4"/>
    </row>
    <row r="735" spans="2:7" ht="12.75" customHeight="1" x14ac:dyDescent="0.25">
      <c r="B735" s="2"/>
      <c r="C735" s="2"/>
      <c r="E735" s="2"/>
      <c r="G735" s="4"/>
    </row>
    <row r="736" spans="2:7" ht="12.75" customHeight="1" x14ac:dyDescent="0.25">
      <c r="B736" s="2"/>
      <c r="C736" s="2"/>
      <c r="E736" s="2"/>
      <c r="G736" s="4"/>
    </row>
    <row r="737" spans="2:7" ht="12.75" customHeight="1" x14ac:dyDescent="0.25">
      <c r="B737" s="2"/>
      <c r="C737" s="2"/>
      <c r="E737" s="2"/>
      <c r="G737" s="4"/>
    </row>
    <row r="738" spans="2:7" ht="12.75" customHeight="1" x14ac:dyDescent="0.25">
      <c r="B738" s="2"/>
      <c r="C738" s="2"/>
      <c r="E738" s="2"/>
      <c r="G738" s="4"/>
    </row>
    <row r="739" spans="2:7" ht="12.75" customHeight="1" x14ac:dyDescent="0.25">
      <c r="B739" s="2"/>
      <c r="C739" s="2"/>
      <c r="E739" s="2"/>
      <c r="G739" s="4"/>
    </row>
    <row r="740" spans="2:7" ht="12.75" customHeight="1" x14ac:dyDescent="0.25">
      <c r="B740" s="2"/>
      <c r="C740" s="2"/>
      <c r="E740" s="2"/>
      <c r="G740" s="4"/>
    </row>
    <row r="741" spans="2:7" ht="12.75" customHeight="1" x14ac:dyDescent="0.25">
      <c r="B741" s="2"/>
      <c r="C741" s="2"/>
      <c r="E741" s="2"/>
      <c r="G741" s="4"/>
    </row>
    <row r="742" spans="2:7" ht="12.75" customHeight="1" x14ac:dyDescent="0.25">
      <c r="B742" s="2"/>
      <c r="C742" s="2"/>
      <c r="E742" s="2"/>
      <c r="G742" s="4"/>
    </row>
    <row r="743" spans="2:7" ht="12.75" customHeight="1" x14ac:dyDescent="0.25">
      <c r="B743" s="2"/>
      <c r="C743" s="2"/>
      <c r="E743" s="2"/>
      <c r="G743" s="4"/>
    </row>
    <row r="744" spans="2:7" ht="12.75" customHeight="1" x14ac:dyDescent="0.25">
      <c r="B744" s="2"/>
      <c r="C744" s="2"/>
      <c r="E744" s="2"/>
      <c r="G744" s="4"/>
    </row>
    <row r="745" spans="2:7" ht="12.75" customHeight="1" x14ac:dyDescent="0.25">
      <c r="B745" s="2"/>
      <c r="C745" s="2"/>
      <c r="E745" s="2"/>
      <c r="G745" s="4"/>
    </row>
    <row r="746" spans="2:7" ht="12.75" customHeight="1" x14ac:dyDescent="0.25">
      <c r="B746" s="2"/>
      <c r="C746" s="2"/>
      <c r="E746" s="2"/>
      <c r="G746" s="4"/>
    </row>
    <row r="747" spans="2:7" ht="12.75" customHeight="1" x14ac:dyDescent="0.25">
      <c r="B747" s="2"/>
      <c r="C747" s="2"/>
      <c r="E747" s="2"/>
      <c r="G747" s="4"/>
    </row>
    <row r="748" spans="2:7" ht="12.75" customHeight="1" x14ac:dyDescent="0.25">
      <c r="B748" s="2"/>
      <c r="C748" s="2"/>
      <c r="E748" s="2"/>
      <c r="G748" s="4"/>
    </row>
    <row r="749" spans="2:7" ht="12.75" customHeight="1" x14ac:dyDescent="0.25">
      <c r="B749" s="2"/>
      <c r="C749" s="2"/>
      <c r="E749" s="2"/>
      <c r="G749" s="4"/>
    </row>
    <row r="750" spans="2:7" ht="12.75" customHeight="1" x14ac:dyDescent="0.25">
      <c r="B750" s="2"/>
      <c r="C750" s="2"/>
      <c r="E750" s="2"/>
      <c r="G750" s="4"/>
    </row>
    <row r="751" spans="2:7" ht="12.75" customHeight="1" x14ac:dyDescent="0.25">
      <c r="B751" s="2"/>
      <c r="C751" s="2"/>
      <c r="E751" s="2"/>
      <c r="G751" s="4"/>
    </row>
    <row r="752" spans="2:7" ht="12.75" customHeight="1" x14ac:dyDescent="0.25">
      <c r="B752" s="2"/>
      <c r="C752" s="2"/>
      <c r="E752" s="2"/>
      <c r="G752" s="4"/>
    </row>
    <row r="753" spans="2:7" ht="12.75" customHeight="1" x14ac:dyDescent="0.25">
      <c r="B753" s="2"/>
      <c r="C753" s="2"/>
      <c r="E753" s="2"/>
      <c r="G753" s="4"/>
    </row>
    <row r="754" spans="2:7" ht="12.75" customHeight="1" x14ac:dyDescent="0.25">
      <c r="B754" s="2"/>
      <c r="C754" s="2"/>
      <c r="E754" s="2"/>
      <c r="G754" s="4"/>
    </row>
    <row r="755" spans="2:7" ht="12.75" customHeight="1" x14ac:dyDescent="0.25">
      <c r="B755" s="2"/>
      <c r="C755" s="2"/>
      <c r="E755" s="2"/>
      <c r="G755" s="4"/>
    </row>
    <row r="756" spans="2:7" ht="12.75" customHeight="1" x14ac:dyDescent="0.25">
      <c r="B756" s="2"/>
      <c r="C756" s="2"/>
      <c r="E756" s="2"/>
      <c r="G756" s="4"/>
    </row>
    <row r="757" spans="2:7" ht="12.75" customHeight="1" x14ac:dyDescent="0.25">
      <c r="B757" s="2"/>
      <c r="C757" s="2"/>
      <c r="E757" s="2"/>
      <c r="G757" s="4"/>
    </row>
    <row r="758" spans="2:7" ht="12.75" customHeight="1" x14ac:dyDescent="0.25">
      <c r="B758" s="2"/>
      <c r="C758" s="2"/>
      <c r="E758" s="2"/>
      <c r="G758" s="4"/>
    </row>
    <row r="759" spans="2:7" ht="12.75" customHeight="1" x14ac:dyDescent="0.25">
      <c r="B759" s="2"/>
      <c r="C759" s="2"/>
      <c r="E759" s="2"/>
      <c r="G759" s="4"/>
    </row>
    <row r="760" spans="2:7" ht="12.75" customHeight="1" x14ac:dyDescent="0.25">
      <c r="B760" s="2"/>
      <c r="C760" s="2"/>
      <c r="E760" s="2"/>
      <c r="G760" s="4"/>
    </row>
    <row r="761" spans="2:7" ht="12.75" customHeight="1" x14ac:dyDescent="0.25">
      <c r="B761" s="2"/>
      <c r="C761" s="2"/>
      <c r="E761" s="2"/>
      <c r="G761" s="4"/>
    </row>
    <row r="762" spans="2:7" ht="12.75" customHeight="1" x14ac:dyDescent="0.25">
      <c r="B762" s="2"/>
      <c r="C762" s="2"/>
      <c r="E762" s="2"/>
      <c r="G762" s="4"/>
    </row>
    <row r="763" spans="2:7" ht="12.75" customHeight="1" x14ac:dyDescent="0.25">
      <c r="B763" s="2"/>
      <c r="C763" s="2"/>
      <c r="E763" s="2"/>
      <c r="G763" s="4"/>
    </row>
    <row r="764" spans="2:7" ht="12.75" customHeight="1" x14ac:dyDescent="0.25">
      <c r="B764" s="2"/>
      <c r="C764" s="2"/>
      <c r="E764" s="2"/>
      <c r="G764" s="4"/>
    </row>
    <row r="765" spans="2:7" ht="12.75" customHeight="1" x14ac:dyDescent="0.25">
      <c r="B765" s="2"/>
      <c r="C765" s="2"/>
      <c r="E765" s="2"/>
      <c r="G765" s="4"/>
    </row>
    <row r="766" spans="2:7" ht="12.75" customHeight="1" x14ac:dyDescent="0.25">
      <c r="B766" s="2"/>
      <c r="C766" s="2"/>
      <c r="E766" s="2"/>
      <c r="G766" s="4"/>
    </row>
    <row r="767" spans="2:7" ht="12.75" customHeight="1" x14ac:dyDescent="0.25">
      <c r="B767" s="2"/>
      <c r="C767" s="2"/>
      <c r="E767" s="2"/>
      <c r="G767" s="4"/>
    </row>
    <row r="768" spans="2:7" ht="12.75" customHeight="1" x14ac:dyDescent="0.25">
      <c r="B768" s="2"/>
      <c r="C768" s="2"/>
      <c r="E768" s="2"/>
      <c r="G768" s="4"/>
    </row>
    <row r="769" spans="2:7" ht="12.75" customHeight="1" x14ac:dyDescent="0.25">
      <c r="B769" s="2"/>
      <c r="C769" s="2"/>
      <c r="E769" s="2"/>
      <c r="G769" s="4"/>
    </row>
    <row r="770" spans="2:7" ht="12.75" customHeight="1" x14ac:dyDescent="0.25">
      <c r="B770" s="2"/>
      <c r="C770" s="2"/>
      <c r="E770" s="2"/>
      <c r="G770" s="4"/>
    </row>
    <row r="771" spans="2:7" ht="12.75" customHeight="1" x14ac:dyDescent="0.25">
      <c r="B771" s="2"/>
      <c r="C771" s="2"/>
      <c r="E771" s="2"/>
      <c r="G771" s="4"/>
    </row>
    <row r="772" spans="2:7" ht="12.75" customHeight="1" x14ac:dyDescent="0.25">
      <c r="B772" s="2"/>
      <c r="C772" s="2"/>
      <c r="E772" s="2"/>
      <c r="G772" s="4"/>
    </row>
    <row r="773" spans="2:7" ht="12.75" customHeight="1" x14ac:dyDescent="0.25">
      <c r="B773" s="2"/>
      <c r="C773" s="2"/>
      <c r="E773" s="2"/>
      <c r="G773" s="4"/>
    </row>
    <row r="774" spans="2:7" ht="12.75" customHeight="1" x14ac:dyDescent="0.25">
      <c r="B774" s="2"/>
      <c r="C774" s="2"/>
      <c r="E774" s="2"/>
      <c r="G774" s="4"/>
    </row>
    <row r="775" spans="2:7" ht="12.75" customHeight="1" x14ac:dyDescent="0.25">
      <c r="B775" s="2"/>
      <c r="C775" s="2"/>
      <c r="E775" s="2"/>
      <c r="G775" s="4"/>
    </row>
    <row r="776" spans="2:7" ht="12.75" customHeight="1" x14ac:dyDescent="0.25">
      <c r="B776" s="2"/>
      <c r="C776" s="2"/>
      <c r="E776" s="2"/>
      <c r="G776" s="4"/>
    </row>
    <row r="777" spans="2:7" ht="12.75" customHeight="1" x14ac:dyDescent="0.25">
      <c r="B777" s="2"/>
      <c r="C777" s="2"/>
      <c r="E777" s="2"/>
      <c r="G777" s="4"/>
    </row>
    <row r="778" spans="2:7" ht="12.75" customHeight="1" x14ac:dyDescent="0.25">
      <c r="B778" s="2"/>
      <c r="C778" s="2"/>
      <c r="E778" s="2"/>
      <c r="G778" s="4"/>
    </row>
    <row r="779" spans="2:7" ht="12.75" customHeight="1" x14ac:dyDescent="0.25">
      <c r="B779" s="2"/>
      <c r="C779" s="2"/>
      <c r="E779" s="2"/>
      <c r="G779" s="4"/>
    </row>
    <row r="780" spans="2:7" ht="12.75" customHeight="1" x14ac:dyDescent="0.25">
      <c r="B780" s="2"/>
      <c r="C780" s="2"/>
      <c r="E780" s="2"/>
      <c r="G780" s="4"/>
    </row>
    <row r="781" spans="2:7" ht="12.75" customHeight="1" x14ac:dyDescent="0.25">
      <c r="B781" s="2"/>
      <c r="C781" s="2"/>
      <c r="E781" s="2"/>
      <c r="G781" s="4"/>
    </row>
    <row r="782" spans="2:7" ht="12.75" customHeight="1" x14ac:dyDescent="0.25">
      <c r="B782" s="2"/>
      <c r="C782" s="2"/>
      <c r="E782" s="2"/>
      <c r="G782" s="4"/>
    </row>
    <row r="783" spans="2:7" ht="12.75" customHeight="1" x14ac:dyDescent="0.25">
      <c r="B783" s="2"/>
      <c r="C783" s="2"/>
      <c r="E783" s="2"/>
      <c r="G783" s="4"/>
    </row>
    <row r="784" spans="2:7" ht="12.75" customHeight="1" x14ac:dyDescent="0.25">
      <c r="B784" s="2"/>
      <c r="C784" s="2"/>
      <c r="E784" s="2"/>
      <c r="G784" s="4"/>
    </row>
    <row r="785" spans="2:7" ht="12.75" customHeight="1" x14ac:dyDescent="0.25">
      <c r="B785" s="2"/>
      <c r="C785" s="2"/>
      <c r="E785" s="2"/>
      <c r="G785" s="4"/>
    </row>
    <row r="786" spans="2:7" ht="12.75" customHeight="1" x14ac:dyDescent="0.25">
      <c r="B786" s="2"/>
      <c r="C786" s="2"/>
      <c r="E786" s="2"/>
      <c r="G786" s="4"/>
    </row>
    <row r="787" spans="2:7" ht="12.75" customHeight="1" x14ac:dyDescent="0.25">
      <c r="B787" s="2"/>
      <c r="C787" s="2"/>
      <c r="E787" s="2"/>
      <c r="G787" s="4"/>
    </row>
    <row r="788" spans="2:7" ht="12.75" customHeight="1" x14ac:dyDescent="0.25">
      <c r="B788" s="2"/>
      <c r="C788" s="2"/>
      <c r="E788" s="2"/>
      <c r="G788" s="4"/>
    </row>
    <row r="789" spans="2:7" ht="12.75" customHeight="1" x14ac:dyDescent="0.25">
      <c r="B789" s="2"/>
      <c r="C789" s="2"/>
      <c r="E789" s="2"/>
      <c r="G789" s="4"/>
    </row>
    <row r="790" spans="2:7" ht="12.75" customHeight="1" x14ac:dyDescent="0.25">
      <c r="B790" s="2"/>
      <c r="C790" s="2"/>
      <c r="E790" s="2"/>
      <c r="G790" s="4"/>
    </row>
    <row r="791" spans="2:7" ht="12.75" customHeight="1" x14ac:dyDescent="0.25">
      <c r="B791" s="2"/>
      <c r="C791" s="2"/>
      <c r="E791" s="2"/>
      <c r="G791" s="4"/>
    </row>
    <row r="792" spans="2:7" ht="12.75" customHeight="1" x14ac:dyDescent="0.25">
      <c r="B792" s="2"/>
      <c r="C792" s="2"/>
      <c r="E792" s="2"/>
      <c r="G792" s="4"/>
    </row>
    <row r="793" spans="2:7" ht="12.75" customHeight="1" x14ac:dyDescent="0.25">
      <c r="B793" s="2"/>
      <c r="C793" s="2"/>
      <c r="E793" s="2"/>
      <c r="G793" s="4"/>
    </row>
    <row r="794" spans="2:7" ht="12.75" customHeight="1" x14ac:dyDescent="0.25">
      <c r="B794" s="2"/>
      <c r="C794" s="2"/>
      <c r="E794" s="2"/>
      <c r="G794" s="4"/>
    </row>
    <row r="795" spans="2:7" ht="12.75" customHeight="1" x14ac:dyDescent="0.25">
      <c r="B795" s="2"/>
      <c r="C795" s="2"/>
      <c r="E795" s="2"/>
      <c r="G795" s="4"/>
    </row>
    <row r="796" spans="2:7" ht="12.75" customHeight="1" x14ac:dyDescent="0.25">
      <c r="B796" s="2"/>
      <c r="C796" s="2"/>
      <c r="E796" s="2"/>
      <c r="G796" s="4"/>
    </row>
    <row r="797" spans="2:7" ht="12.75" customHeight="1" x14ac:dyDescent="0.25">
      <c r="B797" s="2"/>
      <c r="C797" s="2"/>
      <c r="E797" s="2"/>
      <c r="G797" s="4"/>
    </row>
    <row r="798" spans="2:7" ht="12.75" customHeight="1" x14ac:dyDescent="0.25">
      <c r="B798" s="2"/>
      <c r="C798" s="2"/>
      <c r="E798" s="2"/>
      <c r="G798" s="4"/>
    </row>
    <row r="799" spans="2:7" ht="12.75" customHeight="1" x14ac:dyDescent="0.25">
      <c r="B799" s="2"/>
      <c r="C799" s="2"/>
      <c r="E799" s="2"/>
      <c r="G799" s="4"/>
    </row>
    <row r="800" spans="2:7" ht="12.75" customHeight="1" x14ac:dyDescent="0.25">
      <c r="B800" s="2"/>
      <c r="C800" s="2"/>
      <c r="E800" s="2"/>
      <c r="G800" s="4"/>
    </row>
    <row r="801" spans="2:7" ht="12.75" customHeight="1" x14ac:dyDescent="0.25">
      <c r="B801" s="2"/>
      <c r="C801" s="2"/>
      <c r="E801" s="2"/>
      <c r="G801" s="4"/>
    </row>
    <row r="802" spans="2:7" ht="12.75" customHeight="1" x14ac:dyDescent="0.25">
      <c r="B802" s="2"/>
      <c r="C802" s="2"/>
      <c r="E802" s="2"/>
      <c r="G802" s="4"/>
    </row>
    <row r="803" spans="2:7" ht="12.75" customHeight="1" x14ac:dyDescent="0.25">
      <c r="B803" s="2"/>
      <c r="C803" s="2"/>
      <c r="E803" s="2"/>
      <c r="G803" s="4"/>
    </row>
    <row r="804" spans="2:7" ht="12.75" customHeight="1" x14ac:dyDescent="0.25">
      <c r="B804" s="2"/>
      <c r="C804" s="2"/>
      <c r="E804" s="2"/>
      <c r="G804" s="4"/>
    </row>
    <row r="805" spans="2:7" ht="12.75" customHeight="1" x14ac:dyDescent="0.25">
      <c r="B805" s="2"/>
      <c r="C805" s="2"/>
      <c r="E805" s="2"/>
      <c r="G805" s="4"/>
    </row>
    <row r="806" spans="2:7" ht="12.75" customHeight="1" x14ac:dyDescent="0.25">
      <c r="B806" s="2"/>
      <c r="C806" s="2"/>
      <c r="E806" s="2"/>
      <c r="G806" s="4"/>
    </row>
    <row r="807" spans="2:7" ht="12.75" customHeight="1" x14ac:dyDescent="0.25">
      <c r="B807" s="2"/>
      <c r="C807" s="2"/>
      <c r="E807" s="2"/>
      <c r="G807" s="4"/>
    </row>
    <row r="808" spans="2:7" ht="12.75" customHeight="1" x14ac:dyDescent="0.25">
      <c r="B808" s="2"/>
      <c r="C808" s="2"/>
      <c r="E808" s="2"/>
      <c r="G808" s="4"/>
    </row>
    <row r="809" spans="2:7" ht="12.75" customHeight="1" x14ac:dyDescent="0.25">
      <c r="B809" s="2"/>
      <c r="C809" s="2"/>
      <c r="E809" s="2"/>
      <c r="G809" s="4"/>
    </row>
    <row r="810" spans="2:7" ht="12.75" customHeight="1" x14ac:dyDescent="0.25">
      <c r="B810" s="2"/>
      <c r="C810" s="2"/>
      <c r="E810" s="2"/>
      <c r="G810" s="4"/>
    </row>
    <row r="811" spans="2:7" ht="12.75" customHeight="1" x14ac:dyDescent="0.25">
      <c r="B811" s="2"/>
      <c r="C811" s="2"/>
      <c r="E811" s="2"/>
      <c r="G811" s="4"/>
    </row>
    <row r="812" spans="2:7" ht="12.75" customHeight="1" x14ac:dyDescent="0.25">
      <c r="B812" s="2"/>
      <c r="C812" s="2"/>
      <c r="E812" s="2"/>
      <c r="G812" s="4"/>
    </row>
    <row r="813" spans="2:7" ht="12.75" customHeight="1" x14ac:dyDescent="0.25">
      <c r="B813" s="2"/>
      <c r="C813" s="2"/>
      <c r="E813" s="2"/>
      <c r="G813" s="4"/>
    </row>
    <row r="814" spans="2:7" ht="12.75" customHeight="1" x14ac:dyDescent="0.25">
      <c r="B814" s="2"/>
      <c r="C814" s="2"/>
      <c r="E814" s="2"/>
      <c r="G814" s="4"/>
    </row>
    <row r="815" spans="2:7" ht="12.75" customHeight="1" x14ac:dyDescent="0.25">
      <c r="B815" s="2"/>
      <c r="C815" s="2"/>
      <c r="E815" s="2"/>
      <c r="G815" s="4"/>
    </row>
    <row r="816" spans="2:7" ht="12.75" customHeight="1" x14ac:dyDescent="0.25">
      <c r="B816" s="2"/>
      <c r="C816" s="2"/>
      <c r="E816" s="2"/>
      <c r="G816" s="4"/>
    </row>
    <row r="817" spans="2:7" ht="12.75" customHeight="1" x14ac:dyDescent="0.25">
      <c r="B817" s="2"/>
      <c r="C817" s="2"/>
      <c r="E817" s="2"/>
      <c r="G817" s="4"/>
    </row>
    <row r="818" spans="2:7" ht="12.75" customHeight="1" x14ac:dyDescent="0.25">
      <c r="B818" s="2"/>
      <c r="C818" s="2"/>
      <c r="E818" s="2"/>
      <c r="G818" s="4"/>
    </row>
    <row r="819" spans="2:7" ht="12.75" customHeight="1" x14ac:dyDescent="0.25">
      <c r="B819" s="2"/>
      <c r="C819" s="2"/>
      <c r="E819" s="2"/>
      <c r="G819" s="4"/>
    </row>
    <row r="820" spans="2:7" ht="12.75" customHeight="1" x14ac:dyDescent="0.25">
      <c r="B820" s="2"/>
      <c r="C820" s="2"/>
      <c r="E820" s="2"/>
      <c r="G820" s="4"/>
    </row>
    <row r="821" spans="2:7" ht="12.75" customHeight="1" x14ac:dyDescent="0.25">
      <c r="B821" s="2"/>
      <c r="C821" s="2"/>
      <c r="E821" s="2"/>
      <c r="G821" s="4"/>
    </row>
    <row r="822" spans="2:7" ht="12.75" customHeight="1" x14ac:dyDescent="0.25">
      <c r="B822" s="2"/>
      <c r="C822" s="2"/>
      <c r="E822" s="2"/>
      <c r="G822" s="4"/>
    </row>
    <row r="823" spans="2:7" ht="12.75" customHeight="1" x14ac:dyDescent="0.25">
      <c r="B823" s="2"/>
      <c r="C823" s="2"/>
      <c r="E823" s="2"/>
      <c r="G823" s="4"/>
    </row>
    <row r="824" spans="2:7" ht="12.75" customHeight="1" x14ac:dyDescent="0.25">
      <c r="B824" s="2"/>
      <c r="C824" s="2"/>
      <c r="E824" s="2"/>
      <c r="G824" s="4"/>
    </row>
    <row r="825" spans="2:7" ht="12.75" customHeight="1" x14ac:dyDescent="0.25">
      <c r="B825" s="2"/>
      <c r="C825" s="2"/>
      <c r="E825" s="2"/>
      <c r="G825" s="4"/>
    </row>
    <row r="826" spans="2:7" ht="12.75" customHeight="1" x14ac:dyDescent="0.25">
      <c r="B826" s="2"/>
      <c r="C826" s="2"/>
      <c r="E826" s="2"/>
      <c r="G826" s="4"/>
    </row>
    <row r="827" spans="2:7" ht="12.75" customHeight="1" x14ac:dyDescent="0.25">
      <c r="B827" s="2"/>
      <c r="C827" s="2"/>
      <c r="E827" s="2"/>
      <c r="G827" s="4"/>
    </row>
    <row r="828" spans="2:7" ht="12.75" customHeight="1" x14ac:dyDescent="0.25">
      <c r="B828" s="2"/>
      <c r="C828" s="2"/>
      <c r="E828" s="2"/>
      <c r="G828" s="4"/>
    </row>
    <row r="829" spans="2:7" ht="12.75" customHeight="1" x14ac:dyDescent="0.25">
      <c r="B829" s="2"/>
      <c r="C829" s="2"/>
      <c r="E829" s="2"/>
      <c r="G829" s="4"/>
    </row>
    <row r="830" spans="2:7" ht="12.75" customHeight="1" x14ac:dyDescent="0.25">
      <c r="B830" s="2"/>
      <c r="C830" s="2"/>
      <c r="E830" s="2"/>
      <c r="G830" s="4"/>
    </row>
    <row r="831" spans="2:7" ht="12.75" customHeight="1" x14ac:dyDescent="0.25">
      <c r="B831" s="2"/>
      <c r="C831" s="2"/>
      <c r="E831" s="2"/>
      <c r="G831" s="4"/>
    </row>
    <row r="832" spans="2:7" ht="12.75" customHeight="1" x14ac:dyDescent="0.25">
      <c r="B832" s="2"/>
      <c r="C832" s="2"/>
      <c r="E832" s="2"/>
      <c r="G832" s="4"/>
    </row>
    <row r="833" spans="2:7" ht="12.75" customHeight="1" x14ac:dyDescent="0.25">
      <c r="B833" s="2"/>
      <c r="C833" s="2"/>
      <c r="E833" s="2"/>
      <c r="G833" s="4"/>
    </row>
    <row r="834" spans="2:7" ht="12.75" customHeight="1" x14ac:dyDescent="0.25">
      <c r="B834" s="2"/>
      <c r="C834" s="2"/>
      <c r="E834" s="2"/>
      <c r="G834" s="4"/>
    </row>
    <row r="835" spans="2:7" ht="12.75" customHeight="1" x14ac:dyDescent="0.25">
      <c r="B835" s="2"/>
      <c r="C835" s="2"/>
      <c r="E835" s="2"/>
      <c r="G835" s="4"/>
    </row>
    <row r="836" spans="2:7" ht="12.75" customHeight="1" x14ac:dyDescent="0.25">
      <c r="B836" s="2"/>
      <c r="C836" s="2"/>
      <c r="E836" s="2"/>
      <c r="G836" s="4"/>
    </row>
    <row r="837" spans="2:7" ht="12.75" customHeight="1" x14ac:dyDescent="0.25">
      <c r="B837" s="2"/>
      <c r="C837" s="2"/>
      <c r="E837" s="2"/>
      <c r="G837" s="4"/>
    </row>
    <row r="838" spans="2:7" ht="12.75" customHeight="1" x14ac:dyDescent="0.25">
      <c r="B838" s="2"/>
      <c r="C838" s="2"/>
      <c r="E838" s="2"/>
      <c r="G838" s="4"/>
    </row>
    <row r="839" spans="2:7" ht="12.75" customHeight="1" x14ac:dyDescent="0.25">
      <c r="B839" s="2"/>
      <c r="C839" s="2"/>
      <c r="E839" s="2"/>
      <c r="G839" s="4"/>
    </row>
    <row r="840" spans="2:7" ht="12.75" customHeight="1" x14ac:dyDescent="0.25">
      <c r="B840" s="2"/>
      <c r="C840" s="2"/>
      <c r="E840" s="2"/>
      <c r="G840" s="4"/>
    </row>
    <row r="841" spans="2:7" ht="12.75" customHeight="1" x14ac:dyDescent="0.25">
      <c r="B841" s="2"/>
      <c r="C841" s="2"/>
      <c r="E841" s="2"/>
      <c r="G841" s="4"/>
    </row>
    <row r="842" spans="2:7" ht="12.75" customHeight="1" x14ac:dyDescent="0.25">
      <c r="B842" s="2"/>
      <c r="C842" s="2"/>
      <c r="E842" s="2"/>
      <c r="G842" s="4"/>
    </row>
    <row r="843" spans="2:7" ht="12.75" customHeight="1" x14ac:dyDescent="0.25">
      <c r="B843" s="2"/>
      <c r="C843" s="2"/>
      <c r="E843" s="2"/>
      <c r="G843" s="4"/>
    </row>
    <row r="844" spans="2:7" ht="12.75" customHeight="1" x14ac:dyDescent="0.25">
      <c r="B844" s="2"/>
      <c r="C844" s="2"/>
      <c r="E844" s="2"/>
      <c r="G844" s="4"/>
    </row>
    <row r="845" spans="2:7" ht="12.75" customHeight="1" x14ac:dyDescent="0.25">
      <c r="B845" s="2"/>
      <c r="C845" s="2"/>
      <c r="E845" s="2"/>
      <c r="G845" s="4"/>
    </row>
    <row r="846" spans="2:7" ht="12.75" customHeight="1" x14ac:dyDescent="0.25">
      <c r="B846" s="2"/>
      <c r="C846" s="2"/>
      <c r="E846" s="2"/>
      <c r="G846" s="4"/>
    </row>
    <row r="847" spans="2:7" ht="12.75" customHeight="1" x14ac:dyDescent="0.25">
      <c r="B847" s="2"/>
      <c r="C847" s="2"/>
      <c r="E847" s="2"/>
      <c r="G847" s="4"/>
    </row>
    <row r="848" spans="2:7" ht="12.75" customHeight="1" x14ac:dyDescent="0.25">
      <c r="B848" s="2"/>
      <c r="C848" s="2"/>
      <c r="E848" s="2"/>
      <c r="G848" s="4"/>
    </row>
    <row r="849" spans="2:7" ht="12.75" customHeight="1" x14ac:dyDescent="0.25">
      <c r="B849" s="2"/>
      <c r="C849" s="2"/>
      <c r="E849" s="2"/>
      <c r="G849" s="4"/>
    </row>
    <row r="850" spans="2:7" ht="12.75" customHeight="1" x14ac:dyDescent="0.25">
      <c r="B850" s="2"/>
      <c r="C850" s="2"/>
      <c r="E850" s="2"/>
      <c r="G850" s="4"/>
    </row>
    <row r="851" spans="2:7" ht="12.75" customHeight="1" x14ac:dyDescent="0.25">
      <c r="B851" s="2"/>
      <c r="C851" s="2"/>
      <c r="E851" s="2"/>
      <c r="G851" s="4"/>
    </row>
    <row r="852" spans="2:7" ht="12.75" customHeight="1" x14ac:dyDescent="0.25">
      <c r="B852" s="2"/>
      <c r="C852" s="2"/>
      <c r="E852" s="2"/>
      <c r="G852" s="4"/>
    </row>
    <row r="853" spans="2:7" ht="12.75" customHeight="1" x14ac:dyDescent="0.25">
      <c r="B853" s="2"/>
      <c r="C853" s="2"/>
      <c r="E853" s="2"/>
      <c r="G853" s="4"/>
    </row>
    <row r="854" spans="2:7" ht="12.75" customHeight="1" x14ac:dyDescent="0.25">
      <c r="B854" s="2"/>
      <c r="C854" s="2"/>
      <c r="E854" s="2"/>
      <c r="G854" s="4"/>
    </row>
    <row r="855" spans="2:7" ht="12.75" customHeight="1" x14ac:dyDescent="0.25">
      <c r="B855" s="2"/>
      <c r="C855" s="2"/>
      <c r="E855" s="2"/>
      <c r="G855" s="4"/>
    </row>
    <row r="856" spans="2:7" ht="12.75" customHeight="1" x14ac:dyDescent="0.25">
      <c r="B856" s="2"/>
      <c r="C856" s="2"/>
      <c r="E856" s="2"/>
      <c r="G856" s="4"/>
    </row>
    <row r="857" spans="2:7" ht="12.75" customHeight="1" x14ac:dyDescent="0.25">
      <c r="B857" s="2"/>
      <c r="C857" s="2"/>
      <c r="E857" s="2"/>
      <c r="G857" s="4"/>
    </row>
    <row r="858" spans="2:7" ht="12.75" customHeight="1" x14ac:dyDescent="0.25">
      <c r="B858" s="2"/>
      <c r="C858" s="2"/>
      <c r="E858" s="2"/>
      <c r="G858" s="4"/>
    </row>
    <row r="859" spans="2:7" ht="12.75" customHeight="1" x14ac:dyDescent="0.25">
      <c r="B859" s="2"/>
      <c r="C859" s="2"/>
      <c r="E859" s="2"/>
      <c r="G859" s="4"/>
    </row>
    <row r="860" spans="2:7" ht="12.75" customHeight="1" x14ac:dyDescent="0.25">
      <c r="B860" s="2"/>
      <c r="C860" s="2"/>
      <c r="E860" s="2"/>
      <c r="G860" s="4"/>
    </row>
    <row r="861" spans="2:7" ht="12.75" customHeight="1" x14ac:dyDescent="0.25">
      <c r="B861" s="2"/>
      <c r="C861" s="2"/>
      <c r="E861" s="2"/>
      <c r="G861" s="4"/>
    </row>
    <row r="862" spans="2:7" ht="12.75" customHeight="1" x14ac:dyDescent="0.25">
      <c r="B862" s="2"/>
      <c r="C862" s="2"/>
      <c r="E862" s="2"/>
      <c r="G862" s="4"/>
    </row>
    <row r="863" spans="2:7" ht="12.75" customHeight="1" x14ac:dyDescent="0.25">
      <c r="B863" s="2"/>
      <c r="C863" s="2"/>
      <c r="E863" s="2"/>
      <c r="G863" s="4"/>
    </row>
    <row r="864" spans="2:7" ht="12.75" customHeight="1" x14ac:dyDescent="0.25">
      <c r="B864" s="2"/>
      <c r="C864" s="2"/>
      <c r="E864" s="2"/>
      <c r="G864" s="4"/>
    </row>
    <row r="865" spans="2:7" ht="12.75" customHeight="1" x14ac:dyDescent="0.25">
      <c r="B865" s="2"/>
      <c r="C865" s="2"/>
      <c r="E865" s="2"/>
      <c r="G865" s="4"/>
    </row>
    <row r="866" spans="2:7" ht="12.75" customHeight="1" x14ac:dyDescent="0.25">
      <c r="B866" s="2"/>
      <c r="C866" s="2"/>
      <c r="E866" s="2"/>
      <c r="G866" s="4"/>
    </row>
    <row r="867" spans="2:7" ht="12.75" customHeight="1" x14ac:dyDescent="0.25">
      <c r="B867" s="2"/>
      <c r="C867" s="2"/>
      <c r="E867" s="2"/>
      <c r="G867" s="4"/>
    </row>
    <row r="868" spans="2:7" ht="12.75" customHeight="1" x14ac:dyDescent="0.25">
      <c r="B868" s="2"/>
      <c r="C868" s="2"/>
      <c r="E868" s="2"/>
      <c r="G868" s="4"/>
    </row>
    <row r="869" spans="2:7" ht="12.75" customHeight="1" x14ac:dyDescent="0.25">
      <c r="B869" s="2"/>
      <c r="C869" s="2"/>
      <c r="E869" s="2"/>
      <c r="G869" s="4"/>
    </row>
    <row r="870" spans="2:7" ht="12.75" customHeight="1" x14ac:dyDescent="0.25">
      <c r="B870" s="2"/>
      <c r="C870" s="2"/>
      <c r="E870" s="2"/>
      <c r="G870" s="4"/>
    </row>
    <row r="871" spans="2:7" ht="12.75" customHeight="1" x14ac:dyDescent="0.25">
      <c r="B871" s="2"/>
      <c r="C871" s="2"/>
      <c r="E871" s="2"/>
      <c r="G871" s="4"/>
    </row>
    <row r="872" spans="2:7" ht="12.75" customHeight="1" x14ac:dyDescent="0.25">
      <c r="B872" s="2"/>
      <c r="C872" s="2"/>
      <c r="E872" s="2"/>
      <c r="G872" s="4"/>
    </row>
    <row r="873" spans="2:7" ht="12.75" customHeight="1" x14ac:dyDescent="0.25">
      <c r="B873" s="2"/>
      <c r="C873" s="2"/>
      <c r="E873" s="2"/>
      <c r="G873" s="4"/>
    </row>
    <row r="874" spans="2:7" ht="12.75" customHeight="1" x14ac:dyDescent="0.25">
      <c r="B874" s="2"/>
      <c r="C874" s="2"/>
      <c r="E874" s="2"/>
      <c r="G874" s="4"/>
    </row>
    <row r="875" spans="2:7" ht="12.75" customHeight="1" x14ac:dyDescent="0.25">
      <c r="B875" s="2"/>
      <c r="C875" s="2"/>
      <c r="E875" s="2"/>
      <c r="G875" s="4"/>
    </row>
    <row r="876" spans="2:7" ht="12.75" customHeight="1" x14ac:dyDescent="0.25">
      <c r="B876" s="2"/>
      <c r="C876" s="2"/>
      <c r="E876" s="2"/>
      <c r="G876" s="4"/>
    </row>
    <row r="877" spans="2:7" ht="12.75" customHeight="1" x14ac:dyDescent="0.25">
      <c r="B877" s="2"/>
      <c r="C877" s="2"/>
      <c r="E877" s="2"/>
      <c r="G877" s="4"/>
    </row>
    <row r="878" spans="2:7" ht="12.75" customHeight="1" x14ac:dyDescent="0.25">
      <c r="B878" s="2"/>
      <c r="C878" s="2"/>
      <c r="E878" s="2"/>
      <c r="G878" s="4"/>
    </row>
    <row r="879" spans="2:7" ht="12.75" customHeight="1" x14ac:dyDescent="0.25">
      <c r="B879" s="2"/>
      <c r="C879" s="2"/>
      <c r="E879" s="2"/>
      <c r="G879" s="4"/>
    </row>
    <row r="880" spans="2:7" ht="12.75" customHeight="1" x14ac:dyDescent="0.25">
      <c r="B880" s="2"/>
      <c r="C880" s="2"/>
      <c r="E880" s="2"/>
      <c r="G880" s="4"/>
    </row>
    <row r="881" spans="2:7" ht="12.75" customHeight="1" x14ac:dyDescent="0.25">
      <c r="B881" s="2"/>
      <c r="C881" s="2"/>
      <c r="E881" s="2"/>
      <c r="G881" s="4"/>
    </row>
    <row r="882" spans="2:7" ht="12.75" customHeight="1" x14ac:dyDescent="0.25">
      <c r="B882" s="2"/>
      <c r="C882" s="2"/>
      <c r="E882" s="2"/>
      <c r="G882" s="4"/>
    </row>
    <row r="883" spans="2:7" ht="12.75" customHeight="1" x14ac:dyDescent="0.25">
      <c r="B883" s="2"/>
      <c r="C883" s="2"/>
      <c r="E883" s="2"/>
      <c r="G883" s="4"/>
    </row>
    <row r="884" spans="2:7" ht="12.75" customHeight="1" x14ac:dyDescent="0.25">
      <c r="B884" s="2"/>
      <c r="C884" s="2"/>
      <c r="E884" s="2"/>
      <c r="G884" s="4"/>
    </row>
    <row r="885" spans="2:7" ht="12.75" customHeight="1" x14ac:dyDescent="0.25">
      <c r="B885" s="2"/>
      <c r="C885" s="2"/>
      <c r="E885" s="2"/>
      <c r="G885" s="4"/>
    </row>
    <row r="886" spans="2:7" ht="12.75" customHeight="1" x14ac:dyDescent="0.25">
      <c r="B886" s="2"/>
      <c r="C886" s="2"/>
      <c r="E886" s="2"/>
      <c r="G886" s="4"/>
    </row>
    <row r="887" spans="2:7" ht="12.75" customHeight="1" x14ac:dyDescent="0.25">
      <c r="B887" s="2"/>
      <c r="C887" s="2"/>
      <c r="E887" s="2"/>
      <c r="G887" s="4"/>
    </row>
    <row r="888" spans="2:7" ht="12.75" customHeight="1" x14ac:dyDescent="0.25">
      <c r="B888" s="2"/>
      <c r="C888" s="2"/>
      <c r="E888" s="2"/>
      <c r="G888" s="4"/>
    </row>
    <row r="889" spans="2:7" ht="12.75" customHeight="1" x14ac:dyDescent="0.25">
      <c r="B889" s="2"/>
      <c r="C889" s="2"/>
      <c r="E889" s="2"/>
      <c r="G889" s="4"/>
    </row>
    <row r="890" spans="2:7" ht="12.75" customHeight="1" x14ac:dyDescent="0.25">
      <c r="B890" s="2"/>
      <c r="C890" s="2"/>
      <c r="E890" s="2"/>
      <c r="G890" s="4"/>
    </row>
    <row r="891" spans="2:7" ht="12.75" customHeight="1" x14ac:dyDescent="0.25">
      <c r="B891" s="2"/>
      <c r="C891" s="2"/>
      <c r="E891" s="2"/>
      <c r="G891" s="4"/>
    </row>
    <row r="892" spans="2:7" ht="12.75" customHeight="1" x14ac:dyDescent="0.25">
      <c r="B892" s="2"/>
      <c r="C892" s="2"/>
      <c r="E892" s="2"/>
      <c r="G892" s="4"/>
    </row>
    <row r="893" spans="2:7" ht="12.75" customHeight="1" x14ac:dyDescent="0.25">
      <c r="B893" s="2"/>
      <c r="C893" s="2"/>
      <c r="E893" s="2"/>
      <c r="G893" s="4"/>
    </row>
    <row r="894" spans="2:7" ht="12.75" customHeight="1" x14ac:dyDescent="0.25">
      <c r="B894" s="2"/>
      <c r="C894" s="2"/>
      <c r="E894" s="2"/>
      <c r="G894" s="4"/>
    </row>
    <row r="895" spans="2:7" ht="12.75" customHeight="1" x14ac:dyDescent="0.25">
      <c r="B895" s="2"/>
      <c r="C895" s="2"/>
      <c r="E895" s="2"/>
      <c r="G895" s="4"/>
    </row>
    <row r="896" spans="2:7" ht="12.75" customHeight="1" x14ac:dyDescent="0.25">
      <c r="B896" s="2"/>
      <c r="C896" s="2"/>
      <c r="E896" s="2"/>
      <c r="G896" s="4"/>
    </row>
    <row r="897" spans="2:7" ht="12.75" customHeight="1" x14ac:dyDescent="0.25">
      <c r="B897" s="2"/>
      <c r="C897" s="2"/>
      <c r="E897" s="2"/>
      <c r="G897" s="4"/>
    </row>
    <row r="898" spans="2:7" ht="12.75" customHeight="1" x14ac:dyDescent="0.25">
      <c r="B898" s="2"/>
      <c r="C898" s="2"/>
      <c r="E898" s="2"/>
      <c r="G898" s="4"/>
    </row>
    <row r="899" spans="2:7" ht="12.75" customHeight="1" x14ac:dyDescent="0.25">
      <c r="B899" s="2"/>
      <c r="C899" s="2"/>
      <c r="E899" s="2"/>
      <c r="G899" s="4"/>
    </row>
    <row r="900" spans="2:7" ht="12.75" customHeight="1" x14ac:dyDescent="0.25">
      <c r="B900" s="2"/>
      <c r="C900" s="2"/>
      <c r="E900" s="2"/>
      <c r="G900" s="4"/>
    </row>
    <row r="901" spans="2:7" ht="12.75" customHeight="1" x14ac:dyDescent="0.25">
      <c r="B901" s="2"/>
      <c r="C901" s="2"/>
      <c r="E901" s="2"/>
      <c r="G901" s="4"/>
    </row>
    <row r="902" spans="2:7" ht="12.75" customHeight="1" x14ac:dyDescent="0.25">
      <c r="B902" s="2"/>
      <c r="C902" s="2"/>
      <c r="E902" s="2"/>
      <c r="G902" s="4"/>
    </row>
    <row r="903" spans="2:7" ht="12.75" customHeight="1" x14ac:dyDescent="0.25">
      <c r="B903" s="2"/>
      <c r="C903" s="2"/>
      <c r="E903" s="2"/>
      <c r="G903" s="4"/>
    </row>
    <row r="904" spans="2:7" ht="12.75" customHeight="1" x14ac:dyDescent="0.25">
      <c r="B904" s="2"/>
      <c r="C904" s="2"/>
      <c r="E904" s="2"/>
      <c r="G904" s="4"/>
    </row>
    <row r="905" spans="2:7" ht="12.75" customHeight="1" x14ac:dyDescent="0.25">
      <c r="B905" s="2"/>
      <c r="C905" s="2"/>
      <c r="E905" s="2"/>
      <c r="G905" s="4"/>
    </row>
    <row r="906" spans="2:7" ht="12.75" customHeight="1" x14ac:dyDescent="0.25">
      <c r="B906" s="2"/>
      <c r="C906" s="2"/>
      <c r="E906" s="2"/>
      <c r="G906" s="4"/>
    </row>
    <row r="907" spans="2:7" ht="12.75" customHeight="1" x14ac:dyDescent="0.25">
      <c r="B907" s="2"/>
      <c r="C907" s="2"/>
      <c r="E907" s="2"/>
      <c r="G907" s="4"/>
    </row>
    <row r="908" spans="2:7" ht="12.75" customHeight="1" x14ac:dyDescent="0.25">
      <c r="B908" s="2"/>
      <c r="C908" s="2"/>
      <c r="E908" s="2"/>
      <c r="G908" s="4"/>
    </row>
    <row r="909" spans="2:7" ht="12.75" customHeight="1" x14ac:dyDescent="0.25">
      <c r="B909" s="2"/>
      <c r="C909" s="2"/>
      <c r="E909" s="2"/>
      <c r="G909" s="4"/>
    </row>
    <row r="910" spans="2:7" ht="12.75" customHeight="1" x14ac:dyDescent="0.25">
      <c r="B910" s="2"/>
      <c r="C910" s="2"/>
      <c r="E910" s="2"/>
      <c r="G910" s="4"/>
    </row>
    <row r="911" spans="2:7" ht="12.75" customHeight="1" x14ac:dyDescent="0.25">
      <c r="B911" s="2"/>
      <c r="C911" s="2"/>
      <c r="E911" s="2"/>
      <c r="G911" s="4"/>
    </row>
    <row r="912" spans="2:7" ht="12.75" customHeight="1" x14ac:dyDescent="0.25">
      <c r="B912" s="2"/>
      <c r="C912" s="2"/>
      <c r="E912" s="2"/>
      <c r="G912" s="4"/>
    </row>
    <row r="913" spans="2:7" ht="12.75" customHeight="1" x14ac:dyDescent="0.25">
      <c r="B913" s="2"/>
      <c r="C913" s="2"/>
      <c r="E913" s="2"/>
      <c r="G913" s="4"/>
    </row>
    <row r="914" spans="2:7" ht="12.75" customHeight="1" x14ac:dyDescent="0.25">
      <c r="B914" s="2"/>
      <c r="C914" s="2"/>
      <c r="E914" s="2"/>
      <c r="G914" s="4"/>
    </row>
    <row r="915" spans="2:7" ht="12.75" customHeight="1" x14ac:dyDescent="0.25">
      <c r="B915" s="2"/>
      <c r="C915" s="2"/>
      <c r="E915" s="2"/>
      <c r="G915" s="4"/>
    </row>
    <row r="916" spans="2:7" ht="12.75" customHeight="1" x14ac:dyDescent="0.25">
      <c r="B916" s="2"/>
      <c r="C916" s="2"/>
      <c r="E916" s="2"/>
      <c r="G916" s="4"/>
    </row>
    <row r="917" spans="2:7" ht="12.75" customHeight="1" x14ac:dyDescent="0.25">
      <c r="B917" s="2"/>
      <c r="C917" s="2"/>
      <c r="E917" s="2"/>
      <c r="G917" s="4"/>
    </row>
    <row r="918" spans="2:7" ht="12.75" customHeight="1" x14ac:dyDescent="0.25">
      <c r="B918" s="2"/>
      <c r="C918" s="2"/>
      <c r="E918" s="2"/>
      <c r="G918" s="4"/>
    </row>
    <row r="919" spans="2:7" ht="12.75" customHeight="1" x14ac:dyDescent="0.25">
      <c r="B919" s="2"/>
      <c r="C919" s="2"/>
      <c r="E919" s="2"/>
      <c r="G919" s="4"/>
    </row>
    <row r="920" spans="2:7" ht="12.75" customHeight="1" x14ac:dyDescent="0.25">
      <c r="B920" s="2"/>
      <c r="C920" s="2"/>
      <c r="E920" s="2"/>
      <c r="G920" s="4"/>
    </row>
    <row r="921" spans="2:7" ht="12.75" customHeight="1" x14ac:dyDescent="0.25">
      <c r="B921" s="2"/>
      <c r="C921" s="2"/>
      <c r="E921" s="2"/>
      <c r="G921" s="4"/>
    </row>
    <row r="922" spans="2:7" ht="12.75" customHeight="1" x14ac:dyDescent="0.25">
      <c r="B922" s="2"/>
      <c r="C922" s="2"/>
      <c r="E922" s="2"/>
      <c r="G922" s="4"/>
    </row>
    <row r="923" spans="2:7" ht="12.75" customHeight="1" x14ac:dyDescent="0.25">
      <c r="B923" s="2"/>
      <c r="C923" s="2"/>
      <c r="E923" s="2"/>
      <c r="G923" s="4"/>
    </row>
    <row r="924" spans="2:7" ht="12.75" customHeight="1" x14ac:dyDescent="0.25">
      <c r="B924" s="2"/>
      <c r="C924" s="2"/>
      <c r="E924" s="2"/>
      <c r="G924" s="4"/>
    </row>
    <row r="925" spans="2:7" ht="12.75" customHeight="1" x14ac:dyDescent="0.25">
      <c r="B925" s="2"/>
      <c r="C925" s="2"/>
      <c r="E925" s="2"/>
      <c r="G925" s="4"/>
    </row>
    <row r="926" spans="2:7" ht="12.75" customHeight="1" x14ac:dyDescent="0.25">
      <c r="B926" s="2"/>
      <c r="C926" s="2"/>
      <c r="E926" s="2"/>
      <c r="G926" s="4"/>
    </row>
    <row r="927" spans="2:7" ht="12.75" customHeight="1" x14ac:dyDescent="0.25">
      <c r="B927" s="2"/>
      <c r="C927" s="2"/>
      <c r="E927" s="2"/>
      <c r="G927" s="4"/>
    </row>
    <row r="928" spans="2:7" ht="12.75" customHeight="1" x14ac:dyDescent="0.25">
      <c r="B928" s="2"/>
      <c r="C928" s="2"/>
      <c r="E928" s="2"/>
      <c r="G928" s="4"/>
    </row>
    <row r="929" spans="2:7" ht="12.75" customHeight="1" x14ac:dyDescent="0.25">
      <c r="B929" s="2"/>
      <c r="C929" s="2"/>
      <c r="E929" s="2"/>
      <c r="G929" s="4"/>
    </row>
    <row r="930" spans="2:7" ht="12.75" customHeight="1" x14ac:dyDescent="0.25">
      <c r="B930" s="2"/>
      <c r="C930" s="2"/>
      <c r="E930" s="2"/>
      <c r="G930" s="4"/>
    </row>
    <row r="931" spans="2:7" ht="12.75" customHeight="1" x14ac:dyDescent="0.25">
      <c r="B931" s="2"/>
      <c r="C931" s="2"/>
      <c r="E931" s="2"/>
      <c r="G931" s="4"/>
    </row>
    <row r="932" spans="2:7" ht="12.75" customHeight="1" x14ac:dyDescent="0.25">
      <c r="B932" s="2"/>
      <c r="C932" s="2"/>
      <c r="E932" s="2"/>
      <c r="G932" s="4"/>
    </row>
    <row r="933" spans="2:7" ht="12.75" customHeight="1" x14ac:dyDescent="0.25">
      <c r="B933" s="2"/>
      <c r="C933" s="2"/>
      <c r="E933" s="2"/>
      <c r="G933" s="4"/>
    </row>
    <row r="934" spans="2:7" ht="12.75" customHeight="1" x14ac:dyDescent="0.25">
      <c r="B934" s="2"/>
      <c r="C934" s="2"/>
      <c r="E934" s="2"/>
      <c r="G934" s="4"/>
    </row>
    <row r="935" spans="2:7" ht="12.75" customHeight="1" x14ac:dyDescent="0.25">
      <c r="B935" s="2"/>
      <c r="C935" s="2"/>
      <c r="E935" s="2"/>
      <c r="G935" s="4"/>
    </row>
    <row r="936" spans="2:7" ht="12.75" customHeight="1" x14ac:dyDescent="0.25">
      <c r="B936" s="2"/>
      <c r="C936" s="2"/>
      <c r="E936" s="2"/>
      <c r="G936" s="4"/>
    </row>
    <row r="937" spans="2:7" ht="12.75" customHeight="1" x14ac:dyDescent="0.25">
      <c r="B937" s="2"/>
      <c r="C937" s="2"/>
      <c r="E937" s="2"/>
      <c r="G937" s="4"/>
    </row>
    <row r="938" spans="2:7" ht="12.75" customHeight="1" x14ac:dyDescent="0.25">
      <c r="B938" s="2"/>
      <c r="C938" s="2"/>
      <c r="E938" s="2"/>
      <c r="G938" s="4"/>
    </row>
    <row r="939" spans="2:7" ht="12.75" customHeight="1" x14ac:dyDescent="0.25">
      <c r="B939" s="2"/>
      <c r="C939" s="2"/>
      <c r="E939" s="2"/>
      <c r="G939" s="4"/>
    </row>
    <row r="940" spans="2:7" ht="12.75" customHeight="1" x14ac:dyDescent="0.25">
      <c r="B940" s="2"/>
      <c r="C940" s="2"/>
      <c r="E940" s="2"/>
      <c r="G940" s="4"/>
    </row>
    <row r="941" spans="2:7" ht="12.75" customHeight="1" x14ac:dyDescent="0.25">
      <c r="B941" s="2"/>
      <c r="C941" s="2"/>
      <c r="E941" s="2"/>
      <c r="G941" s="4"/>
    </row>
    <row r="942" spans="2:7" ht="12.75" customHeight="1" x14ac:dyDescent="0.25">
      <c r="B942" s="2"/>
      <c r="C942" s="2"/>
      <c r="E942" s="2"/>
      <c r="G942" s="4"/>
    </row>
    <row r="943" spans="2:7" ht="12.75" customHeight="1" x14ac:dyDescent="0.25">
      <c r="B943" s="2"/>
      <c r="C943" s="2"/>
      <c r="E943" s="2"/>
      <c r="G943" s="4"/>
    </row>
    <row r="944" spans="2:7" ht="12.75" customHeight="1" x14ac:dyDescent="0.25">
      <c r="B944" s="2"/>
      <c r="C944" s="2"/>
      <c r="E944" s="2"/>
      <c r="G944" s="4"/>
    </row>
    <row r="945" spans="2:7" ht="12.75" customHeight="1" x14ac:dyDescent="0.25">
      <c r="B945" s="2"/>
      <c r="C945" s="2"/>
      <c r="E945" s="2"/>
      <c r="G945" s="4"/>
    </row>
    <row r="946" spans="2:7" ht="12.75" customHeight="1" x14ac:dyDescent="0.25">
      <c r="B946" s="2"/>
      <c r="C946" s="2"/>
      <c r="E946" s="2"/>
      <c r="G946" s="4"/>
    </row>
    <row r="947" spans="2:7" ht="12.75" customHeight="1" x14ac:dyDescent="0.25">
      <c r="B947" s="2"/>
      <c r="C947" s="2"/>
      <c r="E947" s="2"/>
      <c r="G947" s="4"/>
    </row>
    <row r="948" spans="2:7" ht="12.75" customHeight="1" x14ac:dyDescent="0.25">
      <c r="B948" s="2"/>
      <c r="C948" s="2"/>
      <c r="E948" s="2"/>
      <c r="G948" s="4"/>
    </row>
    <row r="949" spans="2:7" ht="12.75" customHeight="1" x14ac:dyDescent="0.25">
      <c r="B949" s="2"/>
      <c r="C949" s="2"/>
      <c r="E949" s="2"/>
      <c r="G949" s="4"/>
    </row>
    <row r="950" spans="2:7" ht="12.75" customHeight="1" x14ac:dyDescent="0.25">
      <c r="B950" s="2"/>
      <c r="C950" s="2"/>
      <c r="E950" s="2"/>
      <c r="G950" s="4"/>
    </row>
    <row r="951" spans="2:7" ht="12.75" customHeight="1" x14ac:dyDescent="0.25">
      <c r="B951" s="2"/>
      <c r="C951" s="2"/>
      <c r="E951" s="2"/>
      <c r="G951" s="4"/>
    </row>
    <row r="952" spans="2:7" ht="12.75" customHeight="1" x14ac:dyDescent="0.25">
      <c r="B952" s="2"/>
      <c r="C952" s="2"/>
      <c r="E952" s="2"/>
      <c r="G952" s="4"/>
    </row>
    <row r="953" spans="2:7" ht="12.75" customHeight="1" x14ac:dyDescent="0.25">
      <c r="B953" s="2"/>
      <c r="C953" s="2"/>
      <c r="E953" s="2"/>
      <c r="G953" s="4"/>
    </row>
    <row r="954" spans="2:7" ht="12.75" customHeight="1" x14ac:dyDescent="0.25">
      <c r="B954" s="2"/>
      <c r="C954" s="2"/>
      <c r="E954" s="2"/>
      <c r="G954" s="4"/>
    </row>
    <row r="955" spans="2:7" ht="12.75" customHeight="1" x14ac:dyDescent="0.25">
      <c r="B955" s="2"/>
      <c r="C955" s="2"/>
      <c r="E955" s="2"/>
      <c r="G955" s="4"/>
    </row>
    <row r="956" spans="2:7" ht="12.75" customHeight="1" x14ac:dyDescent="0.25">
      <c r="B956" s="2"/>
      <c r="C956" s="2"/>
      <c r="E956" s="2"/>
      <c r="G956" s="4"/>
    </row>
    <row r="957" spans="2:7" ht="12.75" customHeight="1" x14ac:dyDescent="0.25">
      <c r="B957" s="2"/>
      <c r="C957" s="2"/>
      <c r="E957" s="2"/>
      <c r="G957" s="4"/>
    </row>
    <row r="958" spans="2:7" ht="12.75" customHeight="1" x14ac:dyDescent="0.25">
      <c r="B958" s="2"/>
      <c r="C958" s="2"/>
      <c r="E958" s="2"/>
      <c r="G958" s="4"/>
    </row>
    <row r="959" spans="2:7" ht="12.75" customHeight="1" x14ac:dyDescent="0.25">
      <c r="B959" s="2"/>
      <c r="C959" s="2"/>
      <c r="E959" s="2"/>
      <c r="G959" s="4"/>
    </row>
    <row r="960" spans="2:7" ht="12.75" customHeight="1" x14ac:dyDescent="0.25">
      <c r="B960" s="2"/>
      <c r="C960" s="2"/>
      <c r="E960" s="2"/>
      <c r="G960" s="4"/>
    </row>
    <row r="961" spans="2:7" ht="12.75" customHeight="1" x14ac:dyDescent="0.25">
      <c r="B961" s="2"/>
      <c r="C961" s="2"/>
      <c r="E961" s="2"/>
      <c r="G961" s="4"/>
    </row>
    <row r="962" spans="2:7" ht="12.75" customHeight="1" x14ac:dyDescent="0.25">
      <c r="B962" s="2"/>
      <c r="C962" s="2"/>
      <c r="E962" s="2"/>
      <c r="G962" s="4"/>
    </row>
    <row r="963" spans="2:7" ht="12.75" customHeight="1" x14ac:dyDescent="0.25">
      <c r="B963" s="2"/>
      <c r="C963" s="2"/>
      <c r="E963" s="2"/>
      <c r="G963" s="4"/>
    </row>
    <row r="964" spans="2:7" ht="12.75" customHeight="1" x14ac:dyDescent="0.25">
      <c r="B964" s="2"/>
      <c r="C964" s="2"/>
      <c r="E964" s="2"/>
      <c r="G964" s="4"/>
    </row>
    <row r="965" spans="2:7" ht="12.75" customHeight="1" x14ac:dyDescent="0.25">
      <c r="B965" s="2"/>
      <c r="C965" s="2"/>
      <c r="E965" s="2"/>
      <c r="G965" s="4"/>
    </row>
    <row r="966" spans="2:7" ht="12.75" customHeight="1" x14ac:dyDescent="0.25">
      <c r="B966" s="2"/>
      <c r="C966" s="2"/>
      <c r="E966" s="2"/>
      <c r="G966" s="4"/>
    </row>
    <row r="967" spans="2:7" ht="12.75" customHeight="1" x14ac:dyDescent="0.25">
      <c r="B967" s="2"/>
      <c r="C967" s="2"/>
      <c r="E967" s="2"/>
      <c r="G967" s="4"/>
    </row>
    <row r="968" spans="2:7" ht="12.75" customHeight="1" x14ac:dyDescent="0.25">
      <c r="B968" s="2"/>
      <c r="C968" s="2"/>
      <c r="E968" s="2"/>
      <c r="G968" s="4"/>
    </row>
    <row r="969" spans="2:7" ht="12.75" customHeight="1" x14ac:dyDescent="0.25">
      <c r="B969" s="2"/>
      <c r="C969" s="2"/>
      <c r="E969" s="2"/>
      <c r="G969" s="4"/>
    </row>
    <row r="970" spans="2:7" ht="12.75" customHeight="1" x14ac:dyDescent="0.25">
      <c r="B970" s="2"/>
      <c r="C970" s="2"/>
      <c r="E970" s="2"/>
      <c r="G970" s="4"/>
    </row>
    <row r="971" spans="2:7" ht="12.75" customHeight="1" x14ac:dyDescent="0.25">
      <c r="B971" s="2"/>
      <c r="C971" s="2"/>
      <c r="E971" s="2"/>
      <c r="G971" s="4"/>
    </row>
    <row r="972" spans="2:7" ht="12.75" customHeight="1" x14ac:dyDescent="0.25">
      <c r="B972" s="2"/>
      <c r="C972" s="2"/>
      <c r="E972" s="2"/>
      <c r="G972" s="4"/>
    </row>
    <row r="973" spans="2:7" ht="12.75" customHeight="1" x14ac:dyDescent="0.25">
      <c r="B973" s="2"/>
      <c r="C973" s="2"/>
      <c r="E973" s="2"/>
      <c r="G973" s="4"/>
    </row>
    <row r="974" spans="2:7" ht="12.75" customHeight="1" x14ac:dyDescent="0.25">
      <c r="B974" s="2"/>
      <c r="C974" s="2"/>
      <c r="E974" s="2"/>
      <c r="G974" s="4"/>
    </row>
    <row r="975" spans="2:7" ht="12.75" customHeight="1" x14ac:dyDescent="0.25">
      <c r="B975" s="2"/>
      <c r="C975" s="2"/>
      <c r="E975" s="2"/>
      <c r="G975" s="4"/>
    </row>
    <row r="976" spans="2:7" ht="12.75" customHeight="1" x14ac:dyDescent="0.25">
      <c r="B976" s="2"/>
      <c r="C976" s="2"/>
      <c r="E976" s="2"/>
      <c r="G976" s="4"/>
    </row>
    <row r="977" spans="2:7" ht="12.75" customHeight="1" x14ac:dyDescent="0.25">
      <c r="B977" s="2"/>
      <c r="C977" s="2"/>
      <c r="E977" s="2"/>
      <c r="G977" s="4"/>
    </row>
    <row r="978" spans="2:7" ht="12.75" customHeight="1" x14ac:dyDescent="0.25">
      <c r="B978" s="2"/>
      <c r="C978" s="2"/>
      <c r="E978" s="2"/>
      <c r="G978" s="4"/>
    </row>
    <row r="979" spans="2:7" ht="12.75" customHeight="1" x14ac:dyDescent="0.25">
      <c r="B979" s="2"/>
      <c r="C979" s="2"/>
      <c r="E979" s="2"/>
      <c r="G979" s="4"/>
    </row>
    <row r="980" spans="2:7" ht="12.75" customHeight="1" x14ac:dyDescent="0.25">
      <c r="B980" s="2"/>
      <c r="C980" s="2"/>
      <c r="E980" s="2"/>
      <c r="G980" s="4"/>
    </row>
    <row r="981" spans="2:7" ht="12.75" customHeight="1" x14ac:dyDescent="0.25">
      <c r="B981" s="2"/>
      <c r="C981" s="2"/>
      <c r="E981" s="2"/>
      <c r="G981" s="4"/>
    </row>
    <row r="982" spans="2:7" ht="12.75" customHeight="1" x14ac:dyDescent="0.25">
      <c r="B982" s="2"/>
      <c r="C982" s="2"/>
      <c r="E982" s="2"/>
      <c r="G982" s="4"/>
    </row>
    <row r="983" spans="2:7" ht="12.75" customHeight="1" x14ac:dyDescent="0.25">
      <c r="B983" s="2"/>
      <c r="C983" s="2"/>
      <c r="E983" s="2"/>
      <c r="G983" s="4"/>
    </row>
    <row r="984" spans="2:7" ht="12.75" customHeight="1" x14ac:dyDescent="0.25">
      <c r="B984" s="2"/>
      <c r="C984" s="2"/>
      <c r="E984" s="2"/>
      <c r="G984" s="4"/>
    </row>
    <row r="985" spans="2:7" ht="12.75" customHeight="1" x14ac:dyDescent="0.25">
      <c r="B985" s="2"/>
      <c r="C985" s="2"/>
      <c r="E985" s="2"/>
      <c r="G985" s="4"/>
    </row>
    <row r="986" spans="2:7" ht="12.75" customHeight="1" x14ac:dyDescent="0.25">
      <c r="B986" s="2"/>
      <c r="C986" s="2"/>
      <c r="E986" s="2"/>
      <c r="G986" s="4"/>
    </row>
    <row r="987" spans="2:7" ht="12.75" customHeight="1" x14ac:dyDescent="0.25">
      <c r="B987" s="2"/>
      <c r="C987" s="2"/>
      <c r="E987" s="2"/>
      <c r="G987" s="4"/>
    </row>
    <row r="988" spans="2:7" ht="12.75" customHeight="1" x14ac:dyDescent="0.25">
      <c r="B988" s="2"/>
      <c r="C988" s="2"/>
      <c r="E988" s="2"/>
      <c r="G988" s="4"/>
    </row>
    <row r="989" spans="2:7" ht="12.75" customHeight="1" x14ac:dyDescent="0.25">
      <c r="B989" s="2"/>
      <c r="C989" s="2"/>
      <c r="E989" s="2"/>
      <c r="G989" s="4"/>
    </row>
    <row r="990" spans="2:7" ht="12.75" customHeight="1" x14ac:dyDescent="0.25">
      <c r="B990" s="2"/>
      <c r="C990" s="2"/>
      <c r="E990" s="2"/>
      <c r="G990" s="4"/>
    </row>
    <row r="991" spans="2:7" ht="12.75" customHeight="1" x14ac:dyDescent="0.25">
      <c r="B991" s="2"/>
      <c r="C991" s="2"/>
      <c r="E991" s="2"/>
      <c r="G991" s="4"/>
    </row>
    <row r="992" spans="2:7" ht="12.75" customHeight="1" x14ac:dyDescent="0.25">
      <c r="B992" s="2"/>
      <c r="C992" s="2"/>
      <c r="E992" s="2"/>
      <c r="G992" s="4"/>
    </row>
    <row r="993" spans="2:7" ht="12.75" customHeight="1" x14ac:dyDescent="0.25">
      <c r="B993" s="2"/>
      <c r="C993" s="2"/>
      <c r="E993" s="2"/>
      <c r="G993" s="4"/>
    </row>
    <row r="994" spans="2:7" ht="12.75" customHeight="1" x14ac:dyDescent="0.25">
      <c r="B994" s="2"/>
      <c r="C994" s="2"/>
      <c r="E994" s="2"/>
      <c r="G994" s="4"/>
    </row>
    <row r="995" spans="2:7" ht="12.75" customHeight="1" x14ac:dyDescent="0.25">
      <c r="B995" s="2"/>
      <c r="C995" s="2"/>
      <c r="E995" s="2"/>
      <c r="G995" s="4"/>
    </row>
    <row r="996" spans="2:7" ht="12.75" customHeight="1" x14ac:dyDescent="0.25">
      <c r="B996" s="2"/>
      <c r="C996" s="2"/>
      <c r="E996" s="2"/>
      <c r="G996" s="4"/>
    </row>
    <row r="997" spans="2:7" ht="12.75" customHeight="1" x14ac:dyDescent="0.25">
      <c r="B997" s="2"/>
      <c r="C997" s="2"/>
      <c r="E997" s="2"/>
      <c r="G997" s="4"/>
    </row>
    <row r="998" spans="2:7" ht="12.75" customHeight="1" x14ac:dyDescent="0.25">
      <c r="B998" s="2"/>
      <c r="C998" s="2"/>
      <c r="E998" s="2"/>
      <c r="G998" s="4"/>
    </row>
    <row r="999" spans="2:7" ht="12.75" customHeight="1" x14ac:dyDescent="0.25">
      <c r="B999" s="2"/>
      <c r="C999" s="2"/>
      <c r="E999" s="2"/>
      <c r="G999" s="4"/>
    </row>
    <row r="1000" spans="2:7" ht="12.75" customHeight="1" x14ac:dyDescent="0.25">
      <c r="B1000" s="2"/>
      <c r="C1000" s="2"/>
      <c r="E1000" s="2"/>
      <c r="G1000" s="4"/>
    </row>
    <row r="1001" spans="2:7" ht="12.75" customHeight="1" x14ac:dyDescent="0.25">
      <c r="B1001" s="2"/>
      <c r="C1001" s="2"/>
      <c r="E1001" s="2"/>
      <c r="G1001" s="4"/>
    </row>
    <row r="1002" spans="2:7" ht="12.75" customHeight="1" x14ac:dyDescent="0.25">
      <c r="B1002" s="2"/>
      <c r="C1002" s="2"/>
      <c r="E1002" s="2"/>
      <c r="G1002" s="4"/>
    </row>
    <row r="1003" spans="2:7" ht="12.75" customHeight="1" x14ac:dyDescent="0.25">
      <c r="B1003" s="2"/>
      <c r="C1003" s="2"/>
      <c r="E1003" s="2"/>
      <c r="G1003" s="4"/>
    </row>
    <row r="1004" spans="2:7" ht="12.75" customHeight="1" x14ac:dyDescent="0.25">
      <c r="B1004" s="2"/>
      <c r="C1004" s="2"/>
      <c r="E1004" s="2"/>
      <c r="G1004" s="4"/>
    </row>
    <row r="1005" spans="2:7" ht="12.75" customHeight="1" x14ac:dyDescent="0.25">
      <c r="B1005" s="2"/>
      <c r="C1005" s="2"/>
      <c r="E1005" s="2"/>
      <c r="G1005" s="4"/>
    </row>
    <row r="1006" spans="2:7" ht="12.75" customHeight="1" x14ac:dyDescent="0.25">
      <c r="B1006" s="2"/>
      <c r="C1006" s="2"/>
      <c r="E1006" s="2"/>
      <c r="G1006" s="4"/>
    </row>
    <row r="1007" spans="2:7" ht="12.75" customHeight="1" x14ac:dyDescent="0.25">
      <c r="B1007" s="2"/>
      <c r="C1007" s="2"/>
      <c r="E1007" s="2"/>
      <c r="G1007" s="4"/>
    </row>
    <row r="1008" spans="2:7" ht="12.75" customHeight="1" x14ac:dyDescent="0.25">
      <c r="B1008" s="2"/>
      <c r="C1008" s="2"/>
      <c r="E1008" s="2"/>
      <c r="G1008" s="4"/>
    </row>
    <row r="1009" spans="2:7" ht="12.75" customHeight="1" x14ac:dyDescent="0.25">
      <c r="B1009" s="2"/>
      <c r="C1009" s="2"/>
      <c r="E1009" s="2"/>
      <c r="G1009" s="4"/>
    </row>
    <row r="1010" spans="2:7" ht="12.75" customHeight="1" x14ac:dyDescent="0.25">
      <c r="B1010" s="2"/>
      <c r="C1010" s="2"/>
      <c r="E1010" s="2"/>
      <c r="G1010" s="4"/>
    </row>
    <row r="1011" spans="2:7" ht="12.75" customHeight="1" x14ac:dyDescent="0.25">
      <c r="B1011" s="2"/>
      <c r="C1011" s="2"/>
      <c r="E1011" s="2"/>
      <c r="G1011" s="4"/>
    </row>
    <row r="1012" spans="2:7" ht="12.75" customHeight="1" x14ac:dyDescent="0.25">
      <c r="B1012" s="2"/>
      <c r="C1012" s="2"/>
      <c r="E1012" s="2"/>
      <c r="G1012" s="4"/>
    </row>
    <row r="1013" spans="2:7" ht="12.75" customHeight="1" x14ac:dyDescent="0.25">
      <c r="B1013" s="2"/>
      <c r="C1013" s="2"/>
      <c r="E1013" s="2"/>
      <c r="G1013" s="4"/>
    </row>
    <row r="1014" spans="2:7" ht="12.75" customHeight="1" x14ac:dyDescent="0.25">
      <c r="B1014" s="2"/>
      <c r="C1014" s="2"/>
      <c r="E1014" s="2"/>
      <c r="G1014" s="4"/>
    </row>
    <row r="1015" spans="2:7" ht="12.75" customHeight="1" x14ac:dyDescent="0.25">
      <c r="B1015" s="2"/>
      <c r="C1015" s="2"/>
      <c r="E1015" s="2"/>
      <c r="G1015" s="4"/>
    </row>
    <row r="1016" spans="2:7" ht="12.75" customHeight="1" x14ac:dyDescent="0.25">
      <c r="B1016" s="2"/>
      <c r="C1016" s="2"/>
      <c r="E1016" s="2"/>
      <c r="G1016" s="4"/>
    </row>
    <row r="1017" spans="2:7" ht="12.75" customHeight="1" x14ac:dyDescent="0.25">
      <c r="B1017" s="2"/>
      <c r="C1017" s="2"/>
      <c r="E1017" s="2"/>
      <c r="G1017" s="4"/>
    </row>
    <row r="1018" spans="2:7" ht="12.75" customHeight="1" x14ac:dyDescent="0.25">
      <c r="B1018" s="2"/>
      <c r="C1018" s="2"/>
      <c r="E1018" s="2"/>
      <c r="G1018" s="4"/>
    </row>
    <row r="1019" spans="2:7" ht="12.75" customHeight="1" x14ac:dyDescent="0.25">
      <c r="B1019" s="2"/>
      <c r="C1019" s="2"/>
      <c r="E1019" s="2"/>
      <c r="G1019" s="4"/>
    </row>
    <row r="1020" spans="2:7" ht="12.75" customHeight="1" x14ac:dyDescent="0.25">
      <c r="B1020" s="2"/>
      <c r="C1020" s="2"/>
      <c r="E1020" s="2"/>
      <c r="G1020" s="4"/>
    </row>
    <row r="1021" spans="2:7" ht="12.75" customHeight="1" x14ac:dyDescent="0.25">
      <c r="B1021" s="2"/>
      <c r="C1021" s="2"/>
      <c r="E1021" s="2"/>
      <c r="G1021" s="4"/>
    </row>
    <row r="1022" spans="2:7" ht="12.75" customHeight="1" x14ac:dyDescent="0.25">
      <c r="B1022" s="2"/>
      <c r="C1022" s="2"/>
      <c r="E1022" s="2"/>
      <c r="G1022" s="4"/>
    </row>
    <row r="1023" spans="2:7" ht="12.75" customHeight="1" x14ac:dyDescent="0.25">
      <c r="B1023" s="2"/>
      <c r="C1023" s="2"/>
      <c r="E1023" s="2"/>
      <c r="G1023" s="4"/>
    </row>
    <row r="1024" spans="2:7" ht="12.75" customHeight="1" x14ac:dyDescent="0.25">
      <c r="B1024" s="2"/>
      <c r="C1024" s="2"/>
      <c r="E1024" s="2"/>
      <c r="G1024" s="4"/>
    </row>
    <row r="1025" spans="2:7" ht="12.75" customHeight="1" x14ac:dyDescent="0.25">
      <c r="B1025" s="2"/>
      <c r="C1025" s="2"/>
      <c r="E1025" s="2"/>
      <c r="G1025" s="4"/>
    </row>
    <row r="1026" spans="2:7" ht="12.75" customHeight="1" x14ac:dyDescent="0.25">
      <c r="B1026" s="2"/>
      <c r="C1026" s="2"/>
      <c r="E1026" s="2"/>
      <c r="G1026" s="4"/>
    </row>
    <row r="1027" spans="2:7" ht="12.75" customHeight="1" x14ac:dyDescent="0.25">
      <c r="B1027" s="2"/>
      <c r="C1027" s="2"/>
      <c r="E1027" s="2"/>
      <c r="G1027" s="4"/>
    </row>
    <row r="1028" spans="2:7" ht="12.75" customHeight="1" x14ac:dyDescent="0.25">
      <c r="B1028" s="2"/>
      <c r="C1028" s="2"/>
      <c r="E1028" s="2"/>
      <c r="G1028" s="4"/>
    </row>
    <row r="1029" spans="2:7" ht="12.75" customHeight="1" x14ac:dyDescent="0.25">
      <c r="B1029" s="2"/>
      <c r="C1029" s="2"/>
      <c r="E1029" s="2"/>
      <c r="G1029" s="4"/>
    </row>
    <row r="1030" spans="2:7" ht="12.75" customHeight="1" x14ac:dyDescent="0.25">
      <c r="B1030" s="2"/>
      <c r="C1030" s="2"/>
      <c r="E1030" s="2"/>
      <c r="G1030" s="4"/>
    </row>
    <row r="1031" spans="2:7" ht="12.75" customHeight="1" x14ac:dyDescent="0.25">
      <c r="B1031" s="2"/>
      <c r="C1031" s="2"/>
      <c r="E1031" s="2"/>
      <c r="G1031" s="4"/>
    </row>
    <row r="1032" spans="2:7" ht="12.75" customHeight="1" x14ac:dyDescent="0.25">
      <c r="B1032" s="2"/>
      <c r="C1032" s="2"/>
      <c r="E1032" s="2"/>
      <c r="G1032" s="4"/>
    </row>
    <row r="1033" spans="2:7" ht="12.75" customHeight="1" x14ac:dyDescent="0.25">
      <c r="B1033" s="2"/>
      <c r="C1033" s="2"/>
      <c r="E1033" s="2"/>
      <c r="G1033" s="4"/>
    </row>
    <row r="1034" spans="2:7" ht="12.75" customHeight="1" x14ac:dyDescent="0.25">
      <c r="B1034" s="2"/>
      <c r="C1034" s="2"/>
      <c r="E1034" s="2"/>
      <c r="G1034" s="4"/>
    </row>
    <row r="1035" spans="2:7" ht="12.75" customHeight="1" x14ac:dyDescent="0.25">
      <c r="B1035" s="2"/>
      <c r="C1035" s="2"/>
      <c r="E1035" s="2"/>
      <c r="G1035" s="4"/>
    </row>
    <row r="1036" spans="2:7" ht="12.75" customHeight="1" x14ac:dyDescent="0.25">
      <c r="B1036" s="2"/>
      <c r="C1036" s="2"/>
      <c r="E1036" s="2"/>
      <c r="G1036" s="4"/>
    </row>
    <row r="1037" spans="2:7" ht="12.75" customHeight="1" x14ac:dyDescent="0.25">
      <c r="B1037" s="2"/>
      <c r="C1037" s="2"/>
      <c r="E1037" s="2"/>
      <c r="G1037" s="4"/>
    </row>
    <row r="1038" spans="2:7" ht="12.75" customHeight="1" x14ac:dyDescent="0.25">
      <c r="B1038" s="2"/>
      <c r="C1038" s="2"/>
      <c r="E1038" s="2"/>
      <c r="G1038" s="4"/>
    </row>
    <row r="1039" spans="2:7" ht="12.75" customHeight="1" x14ac:dyDescent="0.25">
      <c r="B1039" s="2"/>
      <c r="C1039" s="2"/>
      <c r="E1039" s="2"/>
      <c r="G1039" s="4"/>
    </row>
    <row r="1040" spans="2:7" ht="12.75" customHeight="1" x14ac:dyDescent="0.25">
      <c r="B1040" s="2"/>
      <c r="C1040" s="2"/>
      <c r="E1040" s="2"/>
      <c r="G1040" s="4"/>
    </row>
    <row r="1041" spans="2:7" ht="12.75" customHeight="1" x14ac:dyDescent="0.25">
      <c r="B1041" s="2"/>
      <c r="C1041" s="2"/>
      <c r="E1041" s="2"/>
      <c r="G1041" s="4"/>
    </row>
    <row r="1042" spans="2:7" ht="12.75" customHeight="1" x14ac:dyDescent="0.25">
      <c r="B1042" s="2"/>
      <c r="C1042" s="2"/>
      <c r="E1042" s="2"/>
      <c r="G1042" s="4"/>
    </row>
    <row r="1043" spans="2:7" ht="12.75" customHeight="1" x14ac:dyDescent="0.25">
      <c r="B1043" s="2"/>
      <c r="C1043" s="2"/>
      <c r="E1043" s="2"/>
      <c r="G1043" s="4"/>
    </row>
    <row r="1044" spans="2:7" ht="12.75" customHeight="1" x14ac:dyDescent="0.25">
      <c r="B1044" s="2"/>
      <c r="C1044" s="2"/>
      <c r="E1044" s="2"/>
      <c r="G1044" s="4"/>
    </row>
    <row r="1045" spans="2:7" ht="12.75" customHeight="1" x14ac:dyDescent="0.25">
      <c r="B1045" s="2"/>
      <c r="C1045" s="2"/>
      <c r="E1045" s="2"/>
      <c r="G1045" s="4"/>
    </row>
    <row r="1046" spans="2:7" ht="12.75" customHeight="1" x14ac:dyDescent="0.25">
      <c r="B1046" s="2"/>
      <c r="C1046" s="2"/>
      <c r="E1046" s="2"/>
      <c r="G1046" s="4"/>
    </row>
    <row r="1047" spans="2:7" ht="12.75" customHeight="1" x14ac:dyDescent="0.25">
      <c r="B1047" s="2"/>
      <c r="C1047" s="2"/>
      <c r="E1047" s="2"/>
      <c r="G1047" s="4"/>
    </row>
    <row r="1048" spans="2:7" ht="12.75" customHeight="1" x14ac:dyDescent="0.25">
      <c r="B1048" s="2"/>
      <c r="C1048" s="2"/>
      <c r="E1048" s="2"/>
      <c r="G1048" s="4"/>
    </row>
    <row r="1049" spans="2:7" ht="12.75" customHeight="1" x14ac:dyDescent="0.25">
      <c r="B1049" s="2"/>
      <c r="C1049" s="2"/>
      <c r="E1049" s="2"/>
      <c r="G1049" s="4"/>
    </row>
    <row r="1050" spans="2:7" ht="12.75" customHeight="1" x14ac:dyDescent="0.25">
      <c r="B1050" s="2"/>
      <c r="C1050" s="2"/>
      <c r="E1050" s="2"/>
      <c r="G1050" s="4"/>
    </row>
    <row r="1051" spans="2:7" ht="12.75" customHeight="1" x14ac:dyDescent="0.25">
      <c r="B1051" s="2"/>
      <c r="C1051" s="2"/>
      <c r="E1051" s="2"/>
      <c r="G1051" s="4"/>
    </row>
    <row r="1052" spans="2:7" ht="12.75" customHeight="1" x14ac:dyDescent="0.25">
      <c r="B1052" s="2"/>
      <c r="C1052" s="2"/>
      <c r="E1052" s="2"/>
      <c r="G1052" s="4"/>
    </row>
    <row r="1053" spans="2:7" ht="12.75" customHeight="1" x14ac:dyDescent="0.25">
      <c r="B1053" s="2"/>
      <c r="C1053" s="2"/>
      <c r="E1053" s="2"/>
      <c r="G1053" s="4"/>
    </row>
    <row r="1054" spans="2:7" ht="12.75" customHeight="1" x14ac:dyDescent="0.25">
      <c r="B1054" s="2"/>
      <c r="C1054" s="2"/>
      <c r="E1054" s="2"/>
      <c r="G1054" s="4"/>
    </row>
    <row r="1055" spans="2:7" ht="12.75" customHeight="1" x14ac:dyDescent="0.25">
      <c r="B1055" s="2"/>
      <c r="C1055" s="2"/>
      <c r="E1055" s="2"/>
      <c r="G1055" s="4"/>
    </row>
    <row r="1056" spans="2:7" ht="12.75" customHeight="1" x14ac:dyDescent="0.25">
      <c r="B1056" s="2"/>
      <c r="C1056" s="2"/>
      <c r="E1056" s="2"/>
      <c r="G1056" s="4"/>
    </row>
    <row r="1057" spans="2:7" ht="12.75" customHeight="1" x14ac:dyDescent="0.25">
      <c r="B1057" s="2"/>
      <c r="C1057" s="2"/>
      <c r="E1057" s="2"/>
      <c r="G1057" s="4"/>
    </row>
    <row r="1058" spans="2:7" ht="12.75" customHeight="1" x14ac:dyDescent="0.25">
      <c r="B1058" s="2"/>
      <c r="C1058" s="2"/>
      <c r="E1058" s="2"/>
      <c r="G1058" s="4"/>
    </row>
    <row r="1059" spans="2:7" ht="12.75" customHeight="1" x14ac:dyDescent="0.25">
      <c r="B1059" s="2"/>
      <c r="C1059" s="2"/>
      <c r="E1059" s="2"/>
      <c r="G1059" s="4"/>
    </row>
    <row r="1060" spans="2:7" ht="12.75" customHeight="1" x14ac:dyDescent="0.25">
      <c r="B1060" s="2"/>
      <c r="C1060" s="2"/>
      <c r="E1060" s="2"/>
      <c r="G1060" s="4"/>
    </row>
    <row r="1061" spans="2:7" ht="12.75" customHeight="1" x14ac:dyDescent="0.25">
      <c r="B1061" s="2"/>
      <c r="C1061" s="2"/>
      <c r="E1061" s="2"/>
      <c r="G1061" s="4"/>
    </row>
    <row r="1062" spans="2:7" ht="12.75" customHeight="1" x14ac:dyDescent="0.25">
      <c r="B1062" s="2"/>
      <c r="C1062" s="2"/>
      <c r="E1062" s="2"/>
      <c r="G1062" s="4"/>
    </row>
    <row r="1063" spans="2:7" ht="12.75" customHeight="1" x14ac:dyDescent="0.25">
      <c r="B1063" s="2"/>
      <c r="C1063" s="2"/>
      <c r="E1063" s="2"/>
      <c r="G1063" s="4"/>
    </row>
    <row r="1064" spans="2:7" ht="12.75" customHeight="1" x14ac:dyDescent="0.25">
      <c r="B1064" s="2"/>
      <c r="C1064" s="2"/>
      <c r="E1064" s="2"/>
      <c r="G1064" s="4"/>
    </row>
    <row r="1065" spans="2:7" ht="12.75" customHeight="1" x14ac:dyDescent="0.25">
      <c r="B1065" s="2"/>
      <c r="C1065" s="2"/>
      <c r="E1065" s="2"/>
      <c r="G1065" s="4"/>
    </row>
    <row r="1066" spans="2:7" ht="12.75" customHeight="1" x14ac:dyDescent="0.25">
      <c r="B1066" s="2"/>
      <c r="C1066" s="2"/>
      <c r="E1066" s="2"/>
      <c r="G1066" s="4"/>
    </row>
    <row r="1067" spans="2:7" ht="12.75" customHeight="1" x14ac:dyDescent="0.25">
      <c r="B1067" s="2"/>
      <c r="C1067" s="2"/>
      <c r="E1067" s="2"/>
      <c r="G1067" s="4"/>
    </row>
    <row r="1068" spans="2:7" ht="12.75" customHeight="1" x14ac:dyDescent="0.25">
      <c r="B1068" s="2"/>
      <c r="C1068" s="2"/>
      <c r="E1068" s="2"/>
      <c r="G1068" s="4"/>
    </row>
    <row r="1069" spans="2:7" ht="12.75" customHeight="1" x14ac:dyDescent="0.25">
      <c r="B1069" s="2"/>
      <c r="C1069" s="2"/>
      <c r="E1069" s="2"/>
      <c r="G1069" s="4"/>
    </row>
    <row r="1070" spans="2:7" ht="12.75" customHeight="1" x14ac:dyDescent="0.25">
      <c r="B1070" s="2"/>
      <c r="C1070" s="2"/>
      <c r="E1070" s="2"/>
      <c r="G1070" s="4"/>
    </row>
    <row r="1071" spans="2:7" ht="12.75" customHeight="1" x14ac:dyDescent="0.25">
      <c r="B1071" s="2"/>
      <c r="C1071" s="2"/>
      <c r="E1071" s="2"/>
      <c r="G1071" s="4"/>
    </row>
    <row r="1072" spans="2:7" ht="12.75" customHeight="1" x14ac:dyDescent="0.25">
      <c r="B1072" s="2"/>
      <c r="C1072" s="2"/>
      <c r="E1072" s="2"/>
      <c r="G1072" s="4"/>
    </row>
    <row r="1073" spans="2:7" ht="12.75" customHeight="1" x14ac:dyDescent="0.25">
      <c r="B1073" s="2"/>
      <c r="C1073" s="2"/>
      <c r="E1073" s="2"/>
      <c r="G1073" s="4"/>
    </row>
    <row r="1074" spans="2:7" ht="12.75" customHeight="1" x14ac:dyDescent="0.25">
      <c r="B1074" s="2"/>
      <c r="C1074" s="2"/>
      <c r="E1074" s="2"/>
      <c r="G1074" s="4"/>
    </row>
    <row r="1075" spans="2:7" ht="12.75" customHeight="1" x14ac:dyDescent="0.25">
      <c r="B1075" s="2"/>
      <c r="C1075" s="2"/>
      <c r="E1075" s="2"/>
      <c r="G1075" s="4"/>
    </row>
    <row r="1076" spans="2:7" ht="12.75" customHeight="1" x14ac:dyDescent="0.25">
      <c r="B1076" s="2"/>
      <c r="C1076" s="2"/>
      <c r="E1076" s="2"/>
      <c r="G1076" s="4"/>
    </row>
    <row r="1077" spans="2:7" ht="12.75" customHeight="1" x14ac:dyDescent="0.25">
      <c r="B1077" s="2"/>
      <c r="C1077" s="2"/>
      <c r="E1077" s="2"/>
      <c r="G1077" s="4"/>
    </row>
    <row r="1078" spans="2:7" ht="12.75" customHeight="1" x14ac:dyDescent="0.25">
      <c r="B1078" s="2"/>
      <c r="C1078" s="2"/>
      <c r="E1078" s="2"/>
      <c r="G1078" s="4"/>
    </row>
    <row r="1079" spans="2:7" ht="12.75" customHeight="1" x14ac:dyDescent="0.25">
      <c r="B1079" s="2"/>
      <c r="C1079" s="2"/>
      <c r="E1079" s="2"/>
      <c r="G1079" s="4"/>
    </row>
    <row r="1080" spans="2:7" ht="12.75" customHeight="1" x14ac:dyDescent="0.25">
      <c r="B1080" s="2"/>
      <c r="C1080" s="2"/>
      <c r="E1080" s="2"/>
      <c r="G1080" s="4"/>
    </row>
    <row r="1081" spans="2:7" ht="12.75" customHeight="1" x14ac:dyDescent="0.25">
      <c r="B1081" s="2"/>
      <c r="C1081" s="2"/>
      <c r="E1081" s="2"/>
      <c r="G1081" s="4"/>
    </row>
    <row r="1082" spans="2:7" ht="12.75" customHeight="1" x14ac:dyDescent="0.25">
      <c r="B1082" s="2"/>
      <c r="C1082" s="2"/>
      <c r="E1082" s="2"/>
      <c r="G1082" s="4"/>
    </row>
    <row r="1083" spans="2:7" ht="12.75" customHeight="1" x14ac:dyDescent="0.25">
      <c r="B1083" s="2"/>
      <c r="C1083" s="2"/>
      <c r="E1083" s="2"/>
      <c r="G1083" s="4"/>
    </row>
    <row r="1084" spans="2:7" ht="12.75" customHeight="1" x14ac:dyDescent="0.25">
      <c r="B1084" s="2"/>
      <c r="C1084" s="2"/>
      <c r="E1084" s="2"/>
      <c r="G1084" s="4"/>
    </row>
    <row r="1085" spans="2:7" ht="12.75" customHeight="1" x14ac:dyDescent="0.25">
      <c r="B1085" s="2"/>
      <c r="C1085" s="2"/>
      <c r="E1085" s="2"/>
      <c r="G1085" s="4"/>
    </row>
    <row r="1086" spans="2:7" ht="12.75" customHeight="1" x14ac:dyDescent="0.25">
      <c r="B1086" s="2"/>
      <c r="C1086" s="2"/>
      <c r="E1086" s="2"/>
      <c r="G1086" s="4"/>
    </row>
    <row r="1087" spans="2:7" ht="12.75" customHeight="1" x14ac:dyDescent="0.25">
      <c r="B1087" s="2"/>
      <c r="C1087" s="2"/>
      <c r="E1087" s="2"/>
      <c r="G1087" s="4"/>
    </row>
    <row r="1088" spans="2:7" ht="12.75" customHeight="1" x14ac:dyDescent="0.25">
      <c r="B1088" s="2"/>
      <c r="C1088" s="2"/>
      <c r="E1088" s="2"/>
      <c r="G1088" s="4"/>
    </row>
    <row r="1089" spans="2:7" ht="12.75" customHeight="1" x14ac:dyDescent="0.25">
      <c r="B1089" s="2"/>
      <c r="C1089" s="2"/>
      <c r="E1089" s="2"/>
      <c r="G1089" s="4"/>
    </row>
    <row r="1090" spans="2:7" ht="12.75" customHeight="1" x14ac:dyDescent="0.25">
      <c r="B1090" s="2"/>
      <c r="C1090" s="2"/>
      <c r="E1090" s="2"/>
      <c r="G1090" s="4"/>
    </row>
    <row r="1091" spans="2:7" ht="12.75" customHeight="1" x14ac:dyDescent="0.25">
      <c r="B1091" s="2"/>
      <c r="C1091" s="2"/>
      <c r="E1091" s="2"/>
      <c r="G1091" s="4"/>
    </row>
    <row r="1092" spans="2:7" ht="12.75" customHeight="1" x14ac:dyDescent="0.25">
      <c r="B1092" s="2"/>
      <c r="C1092" s="2"/>
      <c r="E1092" s="2"/>
      <c r="G1092" s="4"/>
    </row>
    <row r="1093" spans="2:7" ht="12.75" customHeight="1" x14ac:dyDescent="0.25">
      <c r="B1093" s="2"/>
      <c r="C1093" s="2"/>
      <c r="E1093" s="2"/>
      <c r="G1093" s="4"/>
    </row>
    <row r="1094" spans="2:7" ht="12.75" customHeight="1" x14ac:dyDescent="0.25">
      <c r="B1094" s="2"/>
      <c r="C1094" s="2"/>
      <c r="E1094" s="2"/>
      <c r="G1094" s="4"/>
    </row>
    <row r="1095" spans="2:7" ht="12.75" customHeight="1" x14ac:dyDescent="0.25">
      <c r="B1095" s="2"/>
      <c r="C1095" s="2"/>
      <c r="E1095" s="2"/>
      <c r="G1095" s="4"/>
    </row>
    <row r="1096" spans="2:7" ht="12.75" customHeight="1" x14ac:dyDescent="0.25">
      <c r="B1096" s="2"/>
      <c r="C1096" s="2"/>
      <c r="E1096" s="2"/>
      <c r="G1096" s="4"/>
    </row>
    <row r="1097" spans="2:7" ht="12.75" customHeight="1" x14ac:dyDescent="0.25">
      <c r="B1097" s="2"/>
      <c r="C1097" s="2"/>
      <c r="E1097" s="2"/>
      <c r="G1097" s="4"/>
    </row>
    <row r="1098" spans="2:7" ht="12.75" customHeight="1" x14ac:dyDescent="0.25">
      <c r="B1098" s="2"/>
      <c r="C1098" s="2"/>
      <c r="E1098" s="2"/>
      <c r="G1098" s="4"/>
    </row>
    <row r="1099" spans="2:7" ht="12.75" customHeight="1" x14ac:dyDescent="0.25">
      <c r="B1099" s="2"/>
      <c r="C1099" s="2"/>
      <c r="E1099" s="2"/>
      <c r="G1099" s="4"/>
    </row>
    <row r="1100" spans="2:7" ht="12.75" customHeight="1" x14ac:dyDescent="0.25">
      <c r="B1100" s="2"/>
      <c r="C1100" s="2"/>
      <c r="E1100" s="2"/>
      <c r="G1100" s="4"/>
    </row>
    <row r="1101" spans="2:7" ht="12.75" customHeight="1" x14ac:dyDescent="0.25">
      <c r="B1101" s="2"/>
      <c r="C1101" s="2"/>
      <c r="E1101" s="2"/>
      <c r="G1101" s="4"/>
    </row>
    <row r="1102" spans="2:7" ht="12.75" customHeight="1" x14ac:dyDescent="0.25">
      <c r="B1102" s="2"/>
      <c r="C1102" s="2"/>
      <c r="E1102" s="2"/>
      <c r="G1102" s="4"/>
    </row>
    <row r="1103" spans="2:7" ht="12.75" customHeight="1" x14ac:dyDescent="0.25">
      <c r="B1103" s="2"/>
      <c r="C1103" s="2"/>
      <c r="E1103" s="2"/>
      <c r="G1103" s="4"/>
    </row>
    <row r="1104" spans="2:7" ht="12.75" customHeight="1" x14ac:dyDescent="0.25">
      <c r="B1104" s="2"/>
      <c r="C1104" s="2"/>
      <c r="E1104" s="2"/>
      <c r="G1104" s="4"/>
    </row>
    <row r="1105" spans="2:7" ht="12.75" customHeight="1" x14ac:dyDescent="0.25">
      <c r="B1105" s="2"/>
      <c r="C1105" s="2"/>
      <c r="E1105" s="2"/>
      <c r="G1105" s="4"/>
    </row>
    <row r="1106" spans="2:7" ht="12.75" customHeight="1" x14ac:dyDescent="0.25">
      <c r="B1106" s="2"/>
      <c r="C1106" s="2"/>
      <c r="E1106" s="2"/>
      <c r="G1106" s="4"/>
    </row>
    <row r="1107" spans="2:7" ht="12.75" customHeight="1" x14ac:dyDescent="0.25">
      <c r="B1107" s="2"/>
      <c r="C1107" s="2"/>
      <c r="E1107" s="2"/>
      <c r="G1107" s="4"/>
    </row>
    <row r="1108" spans="2:7" ht="12.75" customHeight="1" x14ac:dyDescent="0.25">
      <c r="B1108" s="2"/>
      <c r="C1108" s="2"/>
      <c r="E1108" s="2"/>
      <c r="G1108" s="4"/>
    </row>
    <row r="1109" spans="2:7" ht="12.75" customHeight="1" x14ac:dyDescent="0.25">
      <c r="B1109" s="2"/>
      <c r="C1109" s="2"/>
      <c r="E1109" s="2"/>
      <c r="G1109" s="4"/>
    </row>
    <row r="1110" spans="2:7" ht="12.75" customHeight="1" x14ac:dyDescent="0.25">
      <c r="B1110" s="2"/>
      <c r="C1110" s="2"/>
      <c r="E1110" s="2"/>
      <c r="G1110" s="4"/>
    </row>
    <row r="1111" spans="2:7" ht="12.75" customHeight="1" x14ac:dyDescent="0.25">
      <c r="B1111" s="2"/>
      <c r="C1111" s="2"/>
      <c r="E1111" s="2"/>
      <c r="G1111" s="4"/>
    </row>
    <row r="1112" spans="2:7" ht="12.75" customHeight="1" x14ac:dyDescent="0.25">
      <c r="B1112" s="2"/>
      <c r="C1112" s="2"/>
      <c r="E1112" s="2"/>
      <c r="G1112" s="4"/>
    </row>
    <row r="1113" spans="2:7" ht="12.75" customHeight="1" x14ac:dyDescent="0.25">
      <c r="B1113" s="2"/>
      <c r="C1113" s="2"/>
      <c r="E1113" s="2"/>
      <c r="G1113" s="4"/>
    </row>
    <row r="1114" spans="2:7" ht="12.75" customHeight="1" x14ac:dyDescent="0.25">
      <c r="B1114" s="2"/>
      <c r="C1114" s="2"/>
      <c r="E1114" s="2"/>
      <c r="G1114" s="4"/>
    </row>
    <row r="1115" spans="2:7" ht="12.75" customHeight="1" x14ac:dyDescent="0.25">
      <c r="B1115" s="2"/>
      <c r="C1115" s="2"/>
      <c r="E1115" s="2"/>
      <c r="G1115" s="4"/>
    </row>
    <row r="1116" spans="2:7" ht="12.75" customHeight="1" x14ac:dyDescent="0.25">
      <c r="B1116" s="2"/>
      <c r="C1116" s="2"/>
      <c r="E1116" s="2"/>
      <c r="G1116" s="4"/>
    </row>
    <row r="1117" spans="2:7" ht="12.75" customHeight="1" x14ac:dyDescent="0.25">
      <c r="B1117" s="2"/>
      <c r="C1117" s="2"/>
      <c r="E1117" s="2"/>
      <c r="G1117" s="4"/>
    </row>
    <row r="1118" spans="2:7" ht="12.75" customHeight="1" x14ac:dyDescent="0.25">
      <c r="B1118" s="2"/>
      <c r="C1118" s="2"/>
      <c r="E1118" s="2"/>
      <c r="G1118" s="4"/>
    </row>
    <row r="1119" spans="2:7" ht="12.75" customHeight="1" x14ac:dyDescent="0.25">
      <c r="B1119" s="2"/>
      <c r="C1119" s="2"/>
      <c r="E1119" s="2"/>
      <c r="G1119" s="4"/>
    </row>
    <row r="1120" spans="2:7" ht="12.75" customHeight="1" x14ac:dyDescent="0.25">
      <c r="B1120" s="2"/>
      <c r="C1120" s="2"/>
      <c r="E1120" s="2"/>
      <c r="G1120" s="4"/>
    </row>
    <row r="1121" spans="2:7" ht="12.75" customHeight="1" x14ac:dyDescent="0.25">
      <c r="B1121" s="2"/>
      <c r="C1121" s="2"/>
      <c r="E1121" s="2"/>
      <c r="G1121" s="4"/>
    </row>
    <row r="1122" spans="2:7" ht="12.75" customHeight="1" x14ac:dyDescent="0.25">
      <c r="B1122" s="2"/>
      <c r="C1122" s="2"/>
      <c r="E1122" s="2"/>
      <c r="G1122" s="4"/>
    </row>
    <row r="1123" spans="2:7" ht="12.75" customHeight="1" x14ac:dyDescent="0.25">
      <c r="B1123" s="2"/>
      <c r="C1123" s="2"/>
      <c r="E1123" s="2"/>
      <c r="G1123" s="4"/>
    </row>
    <row r="1124" spans="2:7" ht="12.75" customHeight="1" x14ac:dyDescent="0.25">
      <c r="B1124" s="2"/>
      <c r="C1124" s="2"/>
      <c r="E1124" s="2"/>
      <c r="G1124" s="4"/>
    </row>
    <row r="1125" spans="2:7" ht="12.75" customHeight="1" x14ac:dyDescent="0.25">
      <c r="B1125" s="2"/>
      <c r="C1125" s="2"/>
      <c r="E1125" s="2"/>
      <c r="G1125" s="4"/>
    </row>
    <row r="1126" spans="2:7" ht="12.75" customHeight="1" x14ac:dyDescent="0.25">
      <c r="B1126" s="2"/>
      <c r="C1126" s="2"/>
      <c r="E1126" s="2"/>
      <c r="G1126" s="4"/>
    </row>
    <row r="1127" spans="2:7" ht="12.75" customHeight="1" x14ac:dyDescent="0.25">
      <c r="B1127" s="2"/>
      <c r="C1127" s="2"/>
      <c r="E1127" s="2"/>
      <c r="G1127" s="4"/>
    </row>
    <row r="1128" spans="2:7" ht="12.75" customHeight="1" x14ac:dyDescent="0.25">
      <c r="B1128" s="2"/>
      <c r="C1128" s="2"/>
      <c r="E1128" s="2"/>
      <c r="G1128" s="4"/>
    </row>
    <row r="1129" spans="2:7" ht="12.75" customHeight="1" x14ac:dyDescent="0.25">
      <c r="B1129" s="2"/>
      <c r="C1129" s="2"/>
      <c r="E1129" s="2"/>
      <c r="G1129" s="4"/>
    </row>
    <row r="1130" spans="2:7" ht="12.75" customHeight="1" x14ac:dyDescent="0.25">
      <c r="B1130" s="2"/>
      <c r="C1130" s="2"/>
      <c r="E1130" s="2"/>
      <c r="G1130" s="4"/>
    </row>
    <row r="1131" spans="2:7" ht="12.75" customHeight="1" x14ac:dyDescent="0.25">
      <c r="B1131" s="2"/>
      <c r="C1131" s="2"/>
      <c r="E1131" s="2"/>
      <c r="G1131" s="4"/>
    </row>
    <row r="1132" spans="2:7" ht="12.75" customHeight="1" x14ac:dyDescent="0.25">
      <c r="B1132" s="2"/>
      <c r="C1132" s="2"/>
      <c r="E1132" s="2"/>
      <c r="G1132" s="4"/>
    </row>
    <row r="1133" spans="2:7" ht="12.75" customHeight="1" x14ac:dyDescent="0.25">
      <c r="B1133" s="2"/>
      <c r="C1133" s="2"/>
      <c r="E1133" s="2"/>
      <c r="G1133" s="4"/>
    </row>
    <row r="1134" spans="2:7" ht="12.75" customHeight="1" x14ac:dyDescent="0.25">
      <c r="B1134" s="2"/>
      <c r="C1134" s="2"/>
      <c r="E1134" s="2"/>
      <c r="G1134" s="4"/>
    </row>
    <row r="1135" spans="2:7" ht="12.75" customHeight="1" x14ac:dyDescent="0.25">
      <c r="B1135" s="2"/>
      <c r="C1135" s="2"/>
      <c r="E1135" s="2"/>
      <c r="G1135" s="4"/>
    </row>
    <row r="1136" spans="2:7" ht="12.75" customHeight="1" x14ac:dyDescent="0.25">
      <c r="B1136" s="2"/>
      <c r="C1136" s="2"/>
      <c r="E1136" s="2"/>
      <c r="G1136" s="4"/>
    </row>
    <row r="1137" spans="2:7" ht="12.75" customHeight="1" x14ac:dyDescent="0.25">
      <c r="B1137" s="2"/>
      <c r="C1137" s="2"/>
      <c r="E1137" s="2"/>
      <c r="G1137" s="4"/>
    </row>
    <row r="1138" spans="2:7" ht="12.75" customHeight="1" x14ac:dyDescent="0.25">
      <c r="B1138" s="2"/>
      <c r="C1138" s="2"/>
      <c r="E1138" s="2"/>
      <c r="G1138" s="4"/>
    </row>
    <row r="1139" spans="2:7" ht="12.75" customHeight="1" x14ac:dyDescent="0.25">
      <c r="B1139" s="2"/>
      <c r="C1139" s="2"/>
      <c r="E1139" s="2"/>
      <c r="G1139" s="4"/>
    </row>
    <row r="1140" spans="2:7" ht="12.75" customHeight="1" x14ac:dyDescent="0.25">
      <c r="B1140" s="2"/>
      <c r="C1140" s="2"/>
      <c r="E1140" s="2"/>
      <c r="G1140" s="4"/>
    </row>
    <row r="1141" spans="2:7" ht="12.75" customHeight="1" x14ac:dyDescent="0.25">
      <c r="B1141" s="2"/>
      <c r="C1141" s="2"/>
      <c r="E1141" s="2"/>
      <c r="G1141" s="4"/>
    </row>
    <row r="1142" spans="2:7" ht="12.75" customHeight="1" x14ac:dyDescent="0.25">
      <c r="B1142" s="2"/>
      <c r="C1142" s="2"/>
      <c r="E1142" s="2"/>
      <c r="G1142" s="4"/>
    </row>
    <row r="1143" spans="2:7" ht="12.75" customHeight="1" x14ac:dyDescent="0.25">
      <c r="B1143" s="2"/>
      <c r="C1143" s="2"/>
      <c r="E1143" s="2"/>
      <c r="G1143" s="4"/>
    </row>
    <row r="1144" spans="2:7" ht="12.75" customHeight="1" x14ac:dyDescent="0.25">
      <c r="B1144" s="2"/>
      <c r="C1144" s="2"/>
      <c r="E1144" s="2"/>
      <c r="G1144" s="4"/>
    </row>
    <row r="1145" spans="2:7" ht="12.75" customHeight="1" x14ac:dyDescent="0.25">
      <c r="B1145" s="2"/>
      <c r="C1145" s="2"/>
      <c r="E1145" s="2"/>
      <c r="G1145" s="4"/>
    </row>
    <row r="1146" spans="2:7" ht="12.75" customHeight="1" x14ac:dyDescent="0.25">
      <c r="B1146" s="2"/>
      <c r="C1146" s="2"/>
      <c r="E1146" s="2"/>
      <c r="G1146" s="4"/>
    </row>
    <row r="1147" spans="2:7" ht="12.75" customHeight="1" x14ac:dyDescent="0.25">
      <c r="B1147" s="2"/>
      <c r="C1147" s="2"/>
      <c r="E1147" s="2"/>
      <c r="G1147" s="4"/>
    </row>
    <row r="1148" spans="2:7" ht="12.75" customHeight="1" x14ac:dyDescent="0.25">
      <c r="B1148" s="2"/>
      <c r="C1148" s="2"/>
      <c r="E1148" s="2"/>
      <c r="G1148" s="4"/>
    </row>
    <row r="1149" spans="2:7" ht="12.75" customHeight="1" x14ac:dyDescent="0.25">
      <c r="B1149" s="2"/>
      <c r="C1149" s="2"/>
      <c r="E1149" s="2"/>
      <c r="G1149" s="4"/>
    </row>
    <row r="1150" spans="2:7" ht="12.75" customHeight="1" x14ac:dyDescent="0.25">
      <c r="B1150" s="2"/>
      <c r="C1150" s="2"/>
      <c r="E1150" s="2"/>
      <c r="G1150" s="4"/>
    </row>
    <row r="1151" spans="2:7" ht="12.75" customHeight="1" x14ac:dyDescent="0.25">
      <c r="B1151" s="2"/>
      <c r="C1151" s="2"/>
      <c r="E1151" s="2"/>
      <c r="G1151" s="4"/>
    </row>
    <row r="1152" spans="2:7" ht="12.75" customHeight="1" x14ac:dyDescent="0.25">
      <c r="B1152" s="2"/>
      <c r="C1152" s="2"/>
      <c r="E1152" s="2"/>
      <c r="G1152" s="4"/>
    </row>
    <row r="1153" spans="2:7" ht="12.75" customHeight="1" x14ac:dyDescent="0.25">
      <c r="B1153" s="2"/>
      <c r="C1153" s="2"/>
      <c r="E1153" s="2"/>
      <c r="G1153" s="4"/>
    </row>
    <row r="1154" spans="2:7" ht="12.75" customHeight="1" x14ac:dyDescent="0.25">
      <c r="B1154" s="2"/>
      <c r="C1154" s="2"/>
      <c r="E1154" s="2"/>
      <c r="G1154" s="4"/>
    </row>
    <row r="1155" spans="2:7" ht="12.75" customHeight="1" x14ac:dyDescent="0.25">
      <c r="B1155" s="2"/>
      <c r="C1155" s="2"/>
      <c r="E1155" s="2"/>
      <c r="G1155" s="4"/>
    </row>
    <row r="1156" spans="2:7" ht="12.75" customHeight="1" x14ac:dyDescent="0.25">
      <c r="B1156" s="2"/>
      <c r="C1156" s="2"/>
      <c r="E1156" s="2"/>
      <c r="G1156" s="4"/>
    </row>
    <row r="1157" spans="2:7" ht="12.75" customHeight="1" x14ac:dyDescent="0.25">
      <c r="B1157" s="2"/>
      <c r="C1157" s="2"/>
      <c r="E1157" s="2"/>
      <c r="G1157" s="4"/>
    </row>
    <row r="1158" spans="2:7" ht="12.75" customHeight="1" x14ac:dyDescent="0.25">
      <c r="B1158" s="2"/>
      <c r="C1158" s="2"/>
      <c r="E1158" s="2"/>
      <c r="G1158" s="4"/>
    </row>
    <row r="1159" spans="2:7" ht="12.75" customHeight="1" x14ac:dyDescent="0.25">
      <c r="B1159" s="2"/>
      <c r="C1159" s="2"/>
      <c r="E1159" s="2"/>
      <c r="G1159" s="4"/>
    </row>
    <row r="1160" spans="2:7" ht="12.75" customHeight="1" x14ac:dyDescent="0.25">
      <c r="B1160" s="2"/>
      <c r="C1160" s="2"/>
      <c r="E1160" s="2"/>
      <c r="G1160" s="4"/>
    </row>
    <row r="1161" spans="2:7" ht="12.75" customHeight="1" x14ac:dyDescent="0.25">
      <c r="B1161" s="2"/>
      <c r="C1161" s="2"/>
      <c r="E1161" s="2"/>
      <c r="G1161" s="4"/>
    </row>
    <row r="1162" spans="2:7" ht="12.75" customHeight="1" x14ac:dyDescent="0.25">
      <c r="B1162" s="2"/>
      <c r="C1162" s="2"/>
      <c r="E1162" s="2"/>
      <c r="G1162" s="4"/>
    </row>
    <row r="1163" spans="2:7" ht="12.75" customHeight="1" x14ac:dyDescent="0.25">
      <c r="B1163" s="2"/>
      <c r="C1163" s="2"/>
      <c r="E1163" s="2"/>
      <c r="G1163" s="4"/>
    </row>
    <row r="1164" spans="2:7" ht="12.75" customHeight="1" x14ac:dyDescent="0.25">
      <c r="B1164" s="2"/>
      <c r="C1164" s="2"/>
      <c r="E1164" s="2"/>
      <c r="G1164" s="4"/>
    </row>
    <row r="1165" spans="2:7" ht="12.75" customHeight="1" x14ac:dyDescent="0.25">
      <c r="B1165" s="2"/>
      <c r="C1165" s="2"/>
      <c r="E1165" s="2"/>
      <c r="G1165" s="4"/>
    </row>
    <row r="1166" spans="2:7" ht="12.75" customHeight="1" x14ac:dyDescent="0.25">
      <c r="B1166" s="2"/>
      <c r="C1166" s="2"/>
      <c r="E1166" s="2"/>
      <c r="G1166" s="4"/>
    </row>
    <row r="1167" spans="2:7" ht="12.75" customHeight="1" x14ac:dyDescent="0.25">
      <c r="B1167" s="2"/>
      <c r="C1167" s="2"/>
      <c r="E1167" s="2"/>
      <c r="G1167" s="4"/>
    </row>
    <row r="1168" spans="2:7" ht="12.75" customHeight="1" x14ac:dyDescent="0.25">
      <c r="B1168" s="2"/>
      <c r="C1168" s="2"/>
      <c r="E1168" s="2"/>
      <c r="G1168" s="4"/>
    </row>
    <row r="1169" spans="2:7" ht="12.75" customHeight="1" x14ac:dyDescent="0.25">
      <c r="B1169" s="2"/>
      <c r="C1169" s="2"/>
      <c r="E1169" s="2"/>
      <c r="G1169" s="4"/>
    </row>
    <row r="1170" spans="2:7" ht="12.75" customHeight="1" x14ac:dyDescent="0.25">
      <c r="B1170" s="2"/>
      <c r="C1170" s="2"/>
      <c r="E1170" s="2"/>
      <c r="G1170" s="4"/>
    </row>
    <row r="1171" spans="2:7" ht="12.75" customHeight="1" x14ac:dyDescent="0.25">
      <c r="B1171" s="2"/>
      <c r="C1171" s="2"/>
      <c r="E1171" s="2"/>
      <c r="G1171" s="4"/>
    </row>
    <row r="1172" spans="2:7" ht="12.75" customHeight="1" x14ac:dyDescent="0.25">
      <c r="B1172" s="2"/>
      <c r="C1172" s="2"/>
      <c r="E1172" s="2"/>
      <c r="G1172" s="4"/>
    </row>
    <row r="1173" spans="2:7" ht="12.75" customHeight="1" x14ac:dyDescent="0.25">
      <c r="B1173" s="2"/>
      <c r="C1173" s="2"/>
      <c r="E1173" s="2"/>
      <c r="G1173" s="4"/>
    </row>
    <row r="1174" spans="2:7" ht="12.75" customHeight="1" x14ac:dyDescent="0.25">
      <c r="B1174" s="2"/>
      <c r="C1174" s="2"/>
      <c r="E1174" s="2"/>
      <c r="G1174" s="4"/>
    </row>
    <row r="1175" spans="2:7" ht="12.75" customHeight="1" x14ac:dyDescent="0.25">
      <c r="B1175" s="2"/>
      <c r="C1175" s="2"/>
      <c r="E1175" s="2"/>
      <c r="G1175" s="4"/>
    </row>
    <row r="1176" spans="2:7" ht="12.75" customHeight="1" x14ac:dyDescent="0.25">
      <c r="B1176" s="2"/>
      <c r="C1176" s="2"/>
      <c r="E1176" s="2"/>
      <c r="G1176" s="4"/>
    </row>
    <row r="1177" spans="2:7" ht="12.75" customHeight="1" x14ac:dyDescent="0.25">
      <c r="B1177" s="2"/>
      <c r="C1177" s="2"/>
      <c r="E1177" s="2"/>
      <c r="G1177" s="4"/>
    </row>
    <row r="1178" spans="2:7" ht="12.75" customHeight="1" x14ac:dyDescent="0.25">
      <c r="B1178" s="2"/>
      <c r="C1178" s="2"/>
      <c r="E1178" s="2"/>
      <c r="G1178" s="4"/>
    </row>
    <row r="1179" spans="2:7" ht="12.75" customHeight="1" x14ac:dyDescent="0.25">
      <c r="B1179" s="2"/>
      <c r="C1179" s="2"/>
      <c r="E1179" s="2"/>
      <c r="G1179" s="4"/>
    </row>
    <row r="1180" spans="2:7" ht="12.75" customHeight="1" x14ac:dyDescent="0.25">
      <c r="B1180" s="2"/>
      <c r="C1180" s="2"/>
      <c r="E1180" s="2"/>
      <c r="G1180" s="4"/>
    </row>
    <row r="1181" spans="2:7" ht="12.75" customHeight="1" x14ac:dyDescent="0.25">
      <c r="B1181" s="2"/>
      <c r="C1181" s="2"/>
      <c r="E1181" s="2"/>
      <c r="G1181" s="4"/>
    </row>
    <row r="1182" spans="2:7" ht="12.75" customHeight="1" x14ac:dyDescent="0.25">
      <c r="B1182" s="2"/>
      <c r="C1182" s="2"/>
      <c r="E1182" s="2"/>
      <c r="G1182" s="4"/>
    </row>
    <row r="1183" spans="2:7" ht="12.75" customHeight="1" x14ac:dyDescent="0.25">
      <c r="B1183" s="2"/>
      <c r="C1183" s="2"/>
      <c r="E1183" s="2"/>
      <c r="G1183" s="4"/>
    </row>
    <row r="1184" spans="2:7" ht="12.75" customHeight="1" x14ac:dyDescent="0.25">
      <c r="B1184" s="2"/>
      <c r="C1184" s="2"/>
      <c r="E1184" s="2"/>
      <c r="G1184" s="4"/>
    </row>
    <row r="1185" spans="2:7" ht="12.75" customHeight="1" x14ac:dyDescent="0.25">
      <c r="B1185" s="2"/>
      <c r="C1185" s="2"/>
      <c r="E1185" s="2"/>
      <c r="G1185" s="4"/>
    </row>
    <row r="1186" spans="2:7" ht="12.75" customHeight="1" x14ac:dyDescent="0.25">
      <c r="B1186" s="2"/>
      <c r="C1186" s="2"/>
      <c r="E1186" s="2"/>
      <c r="G1186" s="4"/>
    </row>
    <row r="1187" spans="2:7" ht="12.75" customHeight="1" x14ac:dyDescent="0.25">
      <c r="B1187" s="2"/>
      <c r="C1187" s="2"/>
      <c r="E1187" s="2"/>
      <c r="G1187" s="4"/>
    </row>
    <row r="1188" spans="2:7" ht="12.75" customHeight="1" x14ac:dyDescent="0.25">
      <c r="B1188" s="2"/>
      <c r="C1188" s="2"/>
      <c r="E1188" s="2"/>
      <c r="G1188" s="4"/>
    </row>
    <row r="1189" spans="2:7" ht="12.75" customHeight="1" x14ac:dyDescent="0.25">
      <c r="B1189" s="2"/>
      <c r="C1189" s="2"/>
      <c r="E1189" s="2"/>
      <c r="G1189" s="4"/>
    </row>
    <row r="1190" spans="2:7" ht="12.75" customHeight="1" x14ac:dyDescent="0.25">
      <c r="B1190" s="2"/>
      <c r="C1190" s="2"/>
      <c r="E1190" s="2"/>
      <c r="G1190" s="4"/>
    </row>
    <row r="1191" spans="2:7" ht="12.75" customHeight="1" x14ac:dyDescent="0.25">
      <c r="B1191" s="2"/>
      <c r="C1191" s="2"/>
      <c r="E1191" s="2"/>
      <c r="G1191" s="4"/>
    </row>
    <row r="1192" spans="2:7" ht="12.75" customHeight="1" x14ac:dyDescent="0.25">
      <c r="B1192" s="2"/>
      <c r="C1192" s="2"/>
      <c r="E1192" s="2"/>
      <c r="G1192" s="4"/>
    </row>
    <row r="1193" spans="2:7" ht="12.75" customHeight="1" x14ac:dyDescent="0.25">
      <c r="B1193" s="2"/>
      <c r="C1193" s="2"/>
      <c r="E1193" s="2"/>
      <c r="G1193" s="4"/>
    </row>
    <row r="1194" spans="2:7" ht="12.75" customHeight="1" x14ac:dyDescent="0.25">
      <c r="B1194" s="2"/>
      <c r="C1194" s="2"/>
      <c r="E1194" s="2"/>
      <c r="G1194" s="4"/>
    </row>
    <row r="1195" spans="2:7" ht="12.75" customHeight="1" x14ac:dyDescent="0.25">
      <c r="B1195" s="2"/>
      <c r="C1195" s="2"/>
      <c r="E1195" s="2"/>
      <c r="G1195" s="4"/>
    </row>
    <row r="1196" spans="2:7" ht="12.75" customHeight="1" x14ac:dyDescent="0.25">
      <c r="B1196" s="2"/>
      <c r="C1196" s="2"/>
      <c r="E1196" s="2"/>
      <c r="G1196" s="4"/>
    </row>
    <row r="1197" spans="2:7" ht="12.75" customHeight="1" x14ac:dyDescent="0.25">
      <c r="B1197" s="2"/>
      <c r="C1197" s="2"/>
      <c r="E1197" s="2"/>
      <c r="G1197" s="4"/>
    </row>
    <row r="1198" spans="2:7" ht="12.75" customHeight="1" x14ac:dyDescent="0.25">
      <c r="B1198" s="2"/>
      <c r="C1198" s="2"/>
      <c r="E1198" s="2"/>
      <c r="G1198" s="4"/>
    </row>
    <row r="1199" spans="2:7" ht="12.75" customHeight="1" x14ac:dyDescent="0.25">
      <c r="B1199" s="2"/>
      <c r="C1199" s="2"/>
      <c r="E1199" s="2"/>
      <c r="G1199" s="4"/>
    </row>
    <row r="1200" spans="2:7" ht="12.75" customHeight="1" x14ac:dyDescent="0.25">
      <c r="B1200" s="2"/>
      <c r="C1200" s="2"/>
      <c r="E1200" s="2"/>
      <c r="G1200" s="4"/>
    </row>
    <row r="1201" spans="2:7" ht="12.75" customHeight="1" x14ac:dyDescent="0.25">
      <c r="B1201" s="2"/>
      <c r="C1201" s="2"/>
      <c r="E1201" s="2"/>
      <c r="G1201" s="4"/>
    </row>
    <row r="1202" spans="2:7" ht="12.75" customHeight="1" x14ac:dyDescent="0.25">
      <c r="B1202" s="2"/>
      <c r="C1202" s="2"/>
      <c r="E1202" s="2"/>
      <c r="G1202" s="4"/>
    </row>
    <row r="1203" spans="2:7" ht="12.75" customHeight="1" x14ac:dyDescent="0.25">
      <c r="B1203" s="2"/>
      <c r="C1203" s="2"/>
      <c r="E1203" s="2"/>
      <c r="G1203" s="4"/>
    </row>
    <row r="1204" spans="2:7" ht="12.75" customHeight="1" x14ac:dyDescent="0.25">
      <c r="B1204" s="2"/>
      <c r="C1204" s="2"/>
      <c r="E1204" s="2"/>
      <c r="G1204" s="4"/>
    </row>
    <row r="1205" spans="2:7" ht="12.75" customHeight="1" x14ac:dyDescent="0.25">
      <c r="B1205" s="2"/>
      <c r="C1205" s="2"/>
      <c r="E1205" s="2"/>
      <c r="G1205" s="4"/>
    </row>
    <row r="1206" spans="2:7" ht="12.75" customHeight="1" x14ac:dyDescent="0.25">
      <c r="B1206" s="2"/>
      <c r="C1206" s="2"/>
      <c r="E1206" s="2"/>
      <c r="G1206" s="4"/>
    </row>
    <row r="1207" spans="2:7" ht="12.75" customHeight="1" x14ac:dyDescent="0.25">
      <c r="B1207" s="2"/>
      <c r="C1207" s="2"/>
      <c r="E1207" s="2"/>
      <c r="G1207" s="4"/>
    </row>
    <row r="1208" spans="2:7" ht="12.75" customHeight="1" x14ac:dyDescent="0.25">
      <c r="B1208" s="2"/>
      <c r="C1208" s="2"/>
      <c r="E1208" s="2"/>
      <c r="G1208" s="4"/>
    </row>
    <row r="1209" spans="2:7" ht="12.75" customHeight="1" x14ac:dyDescent="0.25">
      <c r="B1209" s="2"/>
      <c r="C1209" s="2"/>
      <c r="E1209" s="2"/>
      <c r="G1209" s="4"/>
    </row>
    <row r="1210" spans="2:7" ht="12.75" customHeight="1" x14ac:dyDescent="0.25">
      <c r="B1210" s="2"/>
      <c r="C1210" s="2"/>
      <c r="E1210" s="2"/>
      <c r="G1210" s="4"/>
    </row>
    <row r="1211" spans="2:7" ht="12.75" customHeight="1" x14ac:dyDescent="0.25">
      <c r="B1211" s="2"/>
      <c r="C1211" s="2"/>
      <c r="E1211" s="2"/>
      <c r="G1211" s="4"/>
    </row>
    <row r="1212" spans="2:7" ht="12.75" customHeight="1" x14ac:dyDescent="0.25">
      <c r="B1212" s="2"/>
      <c r="C1212" s="2"/>
      <c r="E1212" s="2"/>
      <c r="G1212" s="4"/>
    </row>
    <row r="1213" spans="2:7" ht="12.75" customHeight="1" x14ac:dyDescent="0.25">
      <c r="B1213" s="2"/>
      <c r="C1213" s="2"/>
      <c r="E1213" s="2"/>
      <c r="G1213" s="4"/>
    </row>
    <row r="1214" spans="2:7" ht="12.75" customHeight="1" x14ac:dyDescent="0.25">
      <c r="B1214" s="2"/>
      <c r="C1214" s="2"/>
      <c r="E1214" s="2"/>
      <c r="G1214" s="4"/>
    </row>
    <row r="1215" spans="2:7" ht="12.75" customHeight="1" x14ac:dyDescent="0.25">
      <c r="B1215" s="2"/>
      <c r="C1215" s="2"/>
      <c r="E1215" s="2"/>
      <c r="G1215" s="4"/>
    </row>
    <row r="1216" spans="2:7" ht="12.75" customHeight="1" x14ac:dyDescent="0.25">
      <c r="B1216" s="2"/>
      <c r="C1216" s="2"/>
      <c r="E1216" s="2"/>
      <c r="G1216" s="4"/>
    </row>
    <row r="1217" spans="2:7" ht="12.75" customHeight="1" x14ac:dyDescent="0.25">
      <c r="B1217" s="2"/>
      <c r="C1217" s="2"/>
      <c r="E1217" s="2"/>
      <c r="G1217" s="4"/>
    </row>
    <row r="1218" spans="2:7" ht="12.75" customHeight="1" x14ac:dyDescent="0.25">
      <c r="B1218" s="2"/>
      <c r="C1218" s="2"/>
      <c r="E1218" s="2"/>
      <c r="G1218" s="4"/>
    </row>
    <row r="1219" spans="2:7" ht="12.75" customHeight="1" x14ac:dyDescent="0.25">
      <c r="B1219" s="2"/>
      <c r="C1219" s="2"/>
      <c r="E1219" s="2"/>
      <c r="G1219" s="4"/>
    </row>
    <row r="1220" spans="2:7" ht="12.75" customHeight="1" x14ac:dyDescent="0.25">
      <c r="B1220" s="2"/>
      <c r="C1220" s="2"/>
      <c r="E1220" s="2"/>
      <c r="G1220" s="4"/>
    </row>
    <row r="1221" spans="2:7" ht="12.75" customHeight="1" x14ac:dyDescent="0.25">
      <c r="B1221" s="2"/>
      <c r="C1221" s="2"/>
      <c r="E1221" s="2"/>
      <c r="G1221" s="4"/>
    </row>
    <row r="1222" spans="2:7" ht="12.75" customHeight="1" x14ac:dyDescent="0.25">
      <c r="B1222" s="2"/>
      <c r="C1222" s="2"/>
      <c r="E1222" s="2"/>
      <c r="G1222" s="4"/>
    </row>
    <row r="1223" spans="2:7" ht="12.75" customHeight="1" x14ac:dyDescent="0.25">
      <c r="B1223" s="2"/>
      <c r="C1223" s="2"/>
      <c r="E1223" s="2"/>
      <c r="G1223" s="4"/>
    </row>
    <row r="1224" spans="2:7" ht="12.75" customHeight="1" x14ac:dyDescent="0.25">
      <c r="B1224" s="2"/>
      <c r="C1224" s="2"/>
      <c r="E1224" s="2"/>
      <c r="G1224" s="4"/>
    </row>
    <row r="1225" spans="2:7" ht="12.75" customHeight="1" x14ac:dyDescent="0.25">
      <c r="B1225" s="2"/>
      <c r="C1225" s="2"/>
      <c r="E1225" s="2"/>
      <c r="G1225" s="4"/>
    </row>
    <row r="1226" spans="2:7" ht="12.75" customHeight="1" x14ac:dyDescent="0.25">
      <c r="B1226" s="2"/>
      <c r="C1226" s="2"/>
      <c r="E1226" s="2"/>
      <c r="G1226" s="4"/>
    </row>
    <row r="1227" spans="2:7" ht="12.75" customHeight="1" x14ac:dyDescent="0.25">
      <c r="B1227" s="2"/>
      <c r="C1227" s="2"/>
      <c r="E1227" s="2"/>
      <c r="G1227" s="4"/>
    </row>
    <row r="1228" spans="2:7" ht="12.75" customHeight="1" x14ac:dyDescent="0.25">
      <c r="B1228" s="2"/>
      <c r="C1228" s="2"/>
      <c r="E1228" s="2"/>
      <c r="G1228" s="4"/>
    </row>
    <row r="1229" spans="2:7" ht="12.75" customHeight="1" x14ac:dyDescent="0.25">
      <c r="B1229" s="2"/>
      <c r="C1229" s="2"/>
      <c r="E1229" s="2"/>
      <c r="G1229" s="4"/>
    </row>
    <row r="1230" spans="2:7" ht="12.75" customHeight="1" x14ac:dyDescent="0.25">
      <c r="B1230" s="2"/>
      <c r="C1230" s="2"/>
      <c r="E1230" s="2"/>
      <c r="G1230" s="4"/>
    </row>
    <row r="1231" spans="2:7" ht="12.75" customHeight="1" x14ac:dyDescent="0.25">
      <c r="B1231" s="2"/>
      <c r="C1231" s="2"/>
      <c r="E1231" s="2"/>
      <c r="G1231" s="4"/>
    </row>
    <row r="1232" spans="2:7" ht="12.75" customHeight="1" x14ac:dyDescent="0.25">
      <c r="B1232" s="2"/>
      <c r="C1232" s="2"/>
      <c r="E1232" s="2"/>
      <c r="G1232" s="4"/>
    </row>
    <row r="1233" spans="2:7" ht="12.75" customHeight="1" x14ac:dyDescent="0.25">
      <c r="B1233" s="2"/>
      <c r="C1233" s="2"/>
      <c r="E1233" s="2"/>
      <c r="G1233" s="4"/>
    </row>
    <row r="1234" spans="2:7" ht="12.75" customHeight="1" x14ac:dyDescent="0.25">
      <c r="B1234" s="2"/>
      <c r="C1234" s="2"/>
      <c r="E1234" s="2"/>
      <c r="G1234" s="4"/>
    </row>
    <row r="1235" spans="2:7" ht="12.75" customHeight="1" x14ac:dyDescent="0.25">
      <c r="B1235" s="2"/>
      <c r="C1235" s="2"/>
      <c r="E1235" s="2"/>
      <c r="G1235" s="4"/>
    </row>
    <row r="1236" spans="2:7" ht="12.75" customHeight="1" x14ac:dyDescent="0.25">
      <c r="B1236" s="2"/>
      <c r="C1236" s="2"/>
      <c r="E1236" s="2"/>
      <c r="G1236" s="4"/>
    </row>
    <row r="1237" spans="2:7" ht="12.75" customHeight="1" x14ac:dyDescent="0.25">
      <c r="B1237" s="2"/>
      <c r="C1237" s="2"/>
      <c r="E1237" s="2"/>
      <c r="G1237" s="4"/>
    </row>
    <row r="1238" spans="2:7" ht="12.75" customHeight="1" x14ac:dyDescent="0.25">
      <c r="B1238" s="2"/>
      <c r="C1238" s="2"/>
      <c r="E1238" s="2"/>
      <c r="G1238" s="4"/>
    </row>
    <row r="1239" spans="2:7" ht="12.75" customHeight="1" x14ac:dyDescent="0.25">
      <c r="B1239" s="2"/>
      <c r="C1239" s="2"/>
      <c r="E1239" s="2"/>
      <c r="G1239" s="4"/>
    </row>
    <row r="1240" spans="2:7" ht="12.75" customHeight="1" x14ac:dyDescent="0.25">
      <c r="B1240" s="2"/>
      <c r="C1240" s="2"/>
      <c r="E1240" s="2"/>
      <c r="G1240" s="4"/>
    </row>
    <row r="1241" spans="2:7" ht="12.75" customHeight="1" x14ac:dyDescent="0.25">
      <c r="B1241" s="2"/>
      <c r="C1241" s="2"/>
      <c r="E1241" s="2"/>
      <c r="G1241" s="4"/>
    </row>
    <row r="1242" spans="2:7" ht="12.75" customHeight="1" x14ac:dyDescent="0.25">
      <c r="B1242" s="2"/>
      <c r="C1242" s="2"/>
      <c r="E1242" s="2"/>
      <c r="G1242" s="4"/>
    </row>
    <row r="1243" spans="2:7" ht="12.75" customHeight="1" x14ac:dyDescent="0.25">
      <c r="B1243" s="2"/>
      <c r="C1243" s="2"/>
      <c r="E1243" s="2"/>
      <c r="G1243" s="4"/>
    </row>
    <row r="1244" spans="2:7" ht="12.75" customHeight="1" x14ac:dyDescent="0.25">
      <c r="B1244" s="2"/>
      <c r="C1244" s="2"/>
      <c r="E1244" s="2"/>
      <c r="G1244" s="4"/>
    </row>
    <row r="1245" spans="2:7" ht="12.75" customHeight="1" x14ac:dyDescent="0.25">
      <c r="B1245" s="2"/>
      <c r="C1245" s="2"/>
      <c r="E1245" s="2"/>
      <c r="G1245" s="4"/>
    </row>
    <row r="1246" spans="2:7" ht="12.75" customHeight="1" x14ac:dyDescent="0.25">
      <c r="B1246" s="2"/>
      <c r="C1246" s="2"/>
      <c r="E1246" s="2"/>
      <c r="G1246" s="4"/>
    </row>
    <row r="1247" spans="2:7" ht="12.75" customHeight="1" x14ac:dyDescent="0.25">
      <c r="B1247" s="2"/>
      <c r="C1247" s="2"/>
      <c r="E1247" s="2"/>
      <c r="G1247" s="4"/>
    </row>
    <row r="1248" spans="2:7" ht="12.75" customHeight="1" x14ac:dyDescent="0.25">
      <c r="B1248" s="2"/>
      <c r="C1248" s="2"/>
      <c r="E1248" s="2"/>
      <c r="G1248" s="4"/>
    </row>
    <row r="1249" spans="2:7" ht="12.75" customHeight="1" x14ac:dyDescent="0.25">
      <c r="B1249" s="2"/>
      <c r="C1249" s="2"/>
      <c r="E1249" s="2"/>
      <c r="G1249" s="4"/>
    </row>
    <row r="1250" spans="2:7" ht="12.75" customHeight="1" x14ac:dyDescent="0.25">
      <c r="B1250" s="2"/>
      <c r="C1250" s="2"/>
      <c r="E1250" s="2"/>
      <c r="G1250" s="4"/>
    </row>
    <row r="1251" spans="2:7" ht="12.75" customHeight="1" x14ac:dyDescent="0.25">
      <c r="B1251" s="2"/>
      <c r="C1251" s="2"/>
      <c r="E1251" s="2"/>
      <c r="G1251" s="4"/>
    </row>
    <row r="1252" spans="2:7" ht="12.75" customHeight="1" x14ac:dyDescent="0.25">
      <c r="B1252" s="2"/>
      <c r="C1252" s="2"/>
      <c r="E1252" s="2"/>
      <c r="G1252" s="4"/>
    </row>
    <row r="1253" spans="2:7" ht="12.75" customHeight="1" x14ac:dyDescent="0.25">
      <c r="B1253" s="2"/>
      <c r="C1253" s="2"/>
      <c r="E1253" s="2"/>
      <c r="G1253" s="4"/>
    </row>
    <row r="1254" spans="2:7" ht="12.75" customHeight="1" x14ac:dyDescent="0.25">
      <c r="B1254" s="2"/>
      <c r="C1254" s="2"/>
      <c r="E1254" s="2"/>
      <c r="G1254" s="4"/>
    </row>
    <row r="1255" spans="2:7" ht="12.75" customHeight="1" x14ac:dyDescent="0.25">
      <c r="B1255" s="2"/>
      <c r="C1255" s="2"/>
      <c r="E1255" s="2"/>
      <c r="G1255" s="4"/>
    </row>
    <row r="1256" spans="2:7" ht="12.75" customHeight="1" x14ac:dyDescent="0.25">
      <c r="B1256" s="2"/>
      <c r="C1256" s="2"/>
      <c r="E1256" s="2"/>
      <c r="G1256" s="4"/>
    </row>
    <row r="1257" spans="2:7" ht="12.75" customHeight="1" x14ac:dyDescent="0.25">
      <c r="B1257" s="2"/>
      <c r="C1257" s="2"/>
      <c r="E1257" s="2"/>
      <c r="G1257" s="4"/>
    </row>
    <row r="1258" spans="2:7" ht="12.75" customHeight="1" x14ac:dyDescent="0.25">
      <c r="B1258" s="2"/>
      <c r="C1258" s="2"/>
      <c r="E1258" s="2"/>
      <c r="G1258" s="4"/>
    </row>
    <row r="1259" spans="2:7" ht="12.75" customHeight="1" x14ac:dyDescent="0.25">
      <c r="B1259" s="2"/>
      <c r="C1259" s="2"/>
      <c r="E1259" s="2"/>
      <c r="G1259" s="4"/>
    </row>
    <row r="1260" spans="2:7" ht="12.75" customHeight="1" x14ac:dyDescent="0.25">
      <c r="B1260" s="2"/>
      <c r="C1260" s="2"/>
      <c r="E1260" s="2"/>
      <c r="G1260" s="4"/>
    </row>
    <row r="1261" spans="2:7" ht="12.75" customHeight="1" x14ac:dyDescent="0.25">
      <c r="B1261" s="2"/>
      <c r="C1261" s="2"/>
      <c r="E1261" s="2"/>
      <c r="G1261" s="4"/>
    </row>
    <row r="1262" spans="2:7" ht="12.75" customHeight="1" x14ac:dyDescent="0.25">
      <c r="B1262" s="2"/>
      <c r="C1262" s="2"/>
      <c r="E1262" s="2"/>
      <c r="G1262" s="4"/>
    </row>
    <row r="1263" spans="2:7" ht="12.75" customHeight="1" x14ac:dyDescent="0.25">
      <c r="B1263" s="2"/>
      <c r="C1263" s="2"/>
      <c r="E1263" s="2"/>
      <c r="G1263" s="4"/>
    </row>
    <row r="1264" spans="2:7" ht="12.75" customHeight="1" x14ac:dyDescent="0.25">
      <c r="B1264" s="2"/>
      <c r="C1264" s="2"/>
      <c r="E1264" s="2"/>
      <c r="G1264" s="4"/>
    </row>
    <row r="1265" spans="2:7" ht="12.75" customHeight="1" x14ac:dyDescent="0.25">
      <c r="B1265" s="2"/>
      <c r="C1265" s="2"/>
      <c r="E1265" s="2"/>
      <c r="G1265" s="4"/>
    </row>
    <row r="1266" spans="2:7" ht="12.75" customHeight="1" x14ac:dyDescent="0.25">
      <c r="B1266" s="2"/>
      <c r="C1266" s="2"/>
      <c r="E1266" s="2"/>
      <c r="G1266" s="4"/>
    </row>
    <row r="1267" spans="2:7" ht="12.75" customHeight="1" x14ac:dyDescent="0.25">
      <c r="B1267" s="2"/>
      <c r="C1267" s="2"/>
      <c r="E1267" s="2"/>
      <c r="G1267" s="4"/>
    </row>
    <row r="1268" spans="2:7" ht="12.75" customHeight="1" x14ac:dyDescent="0.25">
      <c r="B1268" s="2"/>
      <c r="C1268" s="2"/>
      <c r="E1268" s="2"/>
      <c r="G1268" s="4"/>
    </row>
    <row r="1269" spans="2:7" ht="12.75" customHeight="1" x14ac:dyDescent="0.25">
      <c r="B1269" s="2"/>
      <c r="C1269" s="2"/>
      <c r="E1269" s="2"/>
      <c r="G1269" s="4"/>
    </row>
    <row r="1270" spans="2:7" ht="12.75" customHeight="1" x14ac:dyDescent="0.25">
      <c r="B1270" s="2"/>
      <c r="C1270" s="2"/>
      <c r="E1270" s="2"/>
      <c r="G1270" s="4"/>
    </row>
    <row r="1271" spans="2:7" ht="12.75" customHeight="1" x14ac:dyDescent="0.25">
      <c r="B1271" s="2"/>
      <c r="C1271" s="2"/>
      <c r="E1271" s="2"/>
      <c r="G1271" s="4"/>
    </row>
    <row r="1272" spans="2:7" ht="12.75" customHeight="1" x14ac:dyDescent="0.25">
      <c r="B1272" s="2"/>
      <c r="C1272" s="2"/>
      <c r="E1272" s="2"/>
      <c r="G1272" s="4"/>
    </row>
    <row r="1273" spans="2:7" ht="12.75" customHeight="1" x14ac:dyDescent="0.25">
      <c r="B1273" s="2"/>
      <c r="C1273" s="2"/>
      <c r="E1273" s="2"/>
      <c r="G1273" s="4"/>
    </row>
    <row r="1274" spans="2:7" ht="12.75" customHeight="1" x14ac:dyDescent="0.25">
      <c r="B1274" s="2"/>
      <c r="C1274" s="2"/>
      <c r="E1274" s="2"/>
      <c r="G1274" s="4"/>
    </row>
    <row r="1275" spans="2:7" ht="12.75" customHeight="1" x14ac:dyDescent="0.25">
      <c r="B1275" s="2"/>
      <c r="C1275" s="2"/>
      <c r="E1275" s="2"/>
      <c r="G1275" s="4"/>
    </row>
    <row r="1276" spans="2:7" ht="12.75" customHeight="1" x14ac:dyDescent="0.25">
      <c r="B1276" s="2"/>
      <c r="C1276" s="2"/>
      <c r="E1276" s="2"/>
      <c r="G1276" s="4"/>
    </row>
    <row r="1277" spans="2:7" ht="12.75" customHeight="1" x14ac:dyDescent="0.25">
      <c r="B1277" s="2"/>
      <c r="C1277" s="2"/>
      <c r="E1277" s="2"/>
      <c r="G1277" s="4"/>
    </row>
    <row r="1278" spans="2:7" ht="12.75" customHeight="1" x14ac:dyDescent="0.25">
      <c r="B1278" s="2"/>
      <c r="C1278" s="2"/>
      <c r="E1278" s="2"/>
      <c r="G1278" s="4"/>
    </row>
    <row r="1279" spans="2:7" ht="12.75" customHeight="1" x14ac:dyDescent="0.25">
      <c r="B1279" s="2"/>
      <c r="C1279" s="2"/>
      <c r="E1279" s="2"/>
      <c r="G1279" s="4"/>
    </row>
    <row r="1280" spans="2:7" ht="12.75" customHeight="1" x14ac:dyDescent="0.25">
      <c r="B1280" s="2"/>
      <c r="C1280" s="2"/>
      <c r="E1280" s="2"/>
      <c r="G1280" s="4"/>
    </row>
    <row r="1281" spans="2:7" ht="12.75" customHeight="1" x14ac:dyDescent="0.25">
      <c r="B1281" s="2"/>
      <c r="C1281" s="2"/>
      <c r="E1281" s="2"/>
      <c r="G1281" s="4"/>
    </row>
    <row r="1282" spans="2:7" ht="12.75" customHeight="1" x14ac:dyDescent="0.25">
      <c r="B1282" s="2"/>
      <c r="C1282" s="2"/>
      <c r="E1282" s="2"/>
      <c r="G1282" s="4"/>
    </row>
    <row r="1283" spans="2:7" ht="12.75" customHeight="1" x14ac:dyDescent="0.25">
      <c r="B1283" s="2"/>
      <c r="C1283" s="2"/>
      <c r="E1283" s="2"/>
      <c r="G1283" s="4"/>
    </row>
    <row r="1284" spans="2:7" ht="12.75" customHeight="1" x14ac:dyDescent="0.25">
      <c r="B1284" s="2"/>
      <c r="C1284" s="2"/>
      <c r="E1284" s="2"/>
      <c r="G1284" s="4"/>
    </row>
    <row r="1285" spans="2:7" ht="12.75" customHeight="1" x14ac:dyDescent="0.25">
      <c r="B1285" s="2"/>
      <c r="C1285" s="2"/>
      <c r="E1285" s="2"/>
      <c r="G1285" s="4"/>
    </row>
    <row r="1286" spans="2:7" ht="12.75" customHeight="1" x14ac:dyDescent="0.25">
      <c r="B1286" s="2"/>
      <c r="C1286" s="2"/>
      <c r="E1286" s="2"/>
      <c r="G1286" s="4"/>
    </row>
    <row r="1287" spans="2:7" ht="12.75" customHeight="1" x14ac:dyDescent="0.25">
      <c r="B1287" s="2"/>
      <c r="C1287" s="2"/>
      <c r="E1287" s="2"/>
      <c r="G1287" s="4"/>
    </row>
    <row r="1288" spans="2:7" ht="12.75" customHeight="1" x14ac:dyDescent="0.25">
      <c r="B1288" s="2"/>
      <c r="C1288" s="2"/>
      <c r="E1288" s="2"/>
      <c r="G1288" s="4"/>
    </row>
    <row r="1289" spans="2:7" ht="12.75" customHeight="1" x14ac:dyDescent="0.25">
      <c r="B1289" s="2"/>
      <c r="C1289" s="2"/>
      <c r="E1289" s="2"/>
      <c r="G1289" s="4"/>
    </row>
    <row r="1290" spans="2:7" ht="12.75" customHeight="1" x14ac:dyDescent="0.25">
      <c r="B1290" s="2"/>
      <c r="C1290" s="2"/>
      <c r="E1290" s="2"/>
      <c r="G1290" s="4"/>
    </row>
    <row r="1291" spans="2:7" ht="12.75" customHeight="1" x14ac:dyDescent="0.25">
      <c r="B1291" s="2"/>
      <c r="C1291" s="2"/>
      <c r="E1291" s="2"/>
      <c r="G1291" s="4"/>
    </row>
    <row r="1292" spans="2:7" ht="12.75" customHeight="1" x14ac:dyDescent="0.25">
      <c r="B1292" s="2"/>
      <c r="C1292" s="2"/>
      <c r="E1292" s="2"/>
      <c r="G1292" s="4"/>
    </row>
    <row r="1293" spans="2:7" ht="12.75" customHeight="1" x14ac:dyDescent="0.25">
      <c r="B1293" s="2"/>
      <c r="C1293" s="2"/>
      <c r="E1293" s="2"/>
      <c r="G1293" s="4"/>
    </row>
    <row r="1294" spans="2:7" ht="12.75" customHeight="1" x14ac:dyDescent="0.25">
      <c r="B1294" s="2"/>
      <c r="C1294" s="2"/>
      <c r="E1294" s="2"/>
      <c r="G1294" s="4"/>
    </row>
    <row r="1295" spans="2:7" ht="12.75" customHeight="1" x14ac:dyDescent="0.25">
      <c r="B1295" s="2"/>
      <c r="C1295" s="2"/>
      <c r="E1295" s="2"/>
      <c r="G1295" s="4"/>
    </row>
    <row r="1296" spans="2:7" ht="12.75" customHeight="1" x14ac:dyDescent="0.25">
      <c r="B1296" s="2"/>
      <c r="C1296" s="2"/>
      <c r="E1296" s="2"/>
      <c r="G1296" s="4"/>
    </row>
    <row r="1297" spans="2:7" ht="12.75" customHeight="1" x14ac:dyDescent="0.25">
      <c r="B1297" s="2"/>
      <c r="C1297" s="2"/>
      <c r="E1297" s="2"/>
      <c r="G1297" s="4"/>
    </row>
    <row r="1298" spans="2:7" ht="12.75" customHeight="1" x14ac:dyDescent="0.25">
      <c r="B1298" s="2"/>
      <c r="C1298" s="2"/>
      <c r="E1298" s="2"/>
      <c r="G1298" s="4"/>
    </row>
    <row r="1299" spans="2:7" ht="12.75" customHeight="1" x14ac:dyDescent="0.25">
      <c r="B1299" s="2"/>
      <c r="C1299" s="2"/>
      <c r="E1299" s="2"/>
      <c r="G1299" s="4"/>
    </row>
    <row r="1300" spans="2:7" ht="12.75" customHeight="1" x14ac:dyDescent="0.25">
      <c r="B1300" s="2"/>
      <c r="C1300" s="2"/>
      <c r="E1300" s="2"/>
      <c r="G1300" s="4"/>
    </row>
    <row r="1301" spans="2:7" ht="12.75" customHeight="1" x14ac:dyDescent="0.25">
      <c r="B1301" s="2"/>
      <c r="C1301" s="2"/>
      <c r="E1301" s="2"/>
      <c r="G1301" s="4"/>
    </row>
    <row r="1302" spans="2:7" ht="12.75" customHeight="1" x14ac:dyDescent="0.25">
      <c r="B1302" s="2"/>
      <c r="C1302" s="2"/>
      <c r="E1302" s="2"/>
      <c r="G1302" s="4"/>
    </row>
    <row r="1303" spans="2:7" ht="12.75" customHeight="1" x14ac:dyDescent="0.25">
      <c r="B1303" s="2"/>
      <c r="C1303" s="2"/>
      <c r="E1303" s="2"/>
      <c r="G1303" s="4"/>
    </row>
    <row r="1304" spans="2:7" ht="12.75" customHeight="1" x14ac:dyDescent="0.25">
      <c r="B1304" s="2"/>
      <c r="C1304" s="2"/>
      <c r="E1304" s="2"/>
      <c r="G1304" s="4"/>
    </row>
    <row r="1305" spans="2:7" ht="12.75" customHeight="1" x14ac:dyDescent="0.25">
      <c r="B1305" s="2"/>
      <c r="C1305" s="2"/>
      <c r="E1305" s="2"/>
      <c r="G1305" s="4"/>
    </row>
    <row r="1306" spans="2:7" ht="12.75" customHeight="1" x14ac:dyDescent="0.25">
      <c r="B1306" s="2"/>
      <c r="C1306" s="2"/>
      <c r="E1306" s="2"/>
      <c r="G1306" s="4"/>
    </row>
    <row r="1307" spans="2:7" ht="12.75" customHeight="1" x14ac:dyDescent="0.25">
      <c r="B1307" s="2"/>
      <c r="C1307" s="2"/>
      <c r="E1307" s="2"/>
      <c r="G1307" s="4"/>
    </row>
    <row r="1308" spans="2:7" ht="12.75" customHeight="1" x14ac:dyDescent="0.25">
      <c r="B1308" s="2"/>
      <c r="C1308" s="2"/>
      <c r="E1308" s="2"/>
      <c r="G1308" s="4"/>
    </row>
    <row r="1309" spans="2:7" ht="12.75" customHeight="1" x14ac:dyDescent="0.25">
      <c r="B1309" s="2"/>
      <c r="C1309" s="2"/>
      <c r="E1309" s="2"/>
      <c r="G1309" s="4"/>
    </row>
    <row r="1310" spans="2:7" ht="12.75" customHeight="1" x14ac:dyDescent="0.25">
      <c r="B1310" s="2"/>
      <c r="C1310" s="2"/>
      <c r="E1310" s="2"/>
      <c r="G1310" s="4"/>
    </row>
    <row r="1311" spans="2:7" ht="12.75" customHeight="1" x14ac:dyDescent="0.25">
      <c r="B1311" s="2"/>
      <c r="C1311" s="2"/>
      <c r="E1311" s="2"/>
      <c r="G1311" s="4"/>
    </row>
    <row r="1312" spans="2:7" ht="12.75" customHeight="1" x14ac:dyDescent="0.25">
      <c r="B1312" s="2"/>
      <c r="C1312" s="2"/>
      <c r="E1312" s="2"/>
      <c r="G1312" s="4"/>
    </row>
    <row r="1313" spans="2:7" ht="12.75" customHeight="1" x14ac:dyDescent="0.25">
      <c r="B1313" s="2"/>
      <c r="C1313" s="2"/>
      <c r="E1313" s="2"/>
      <c r="G1313" s="4"/>
    </row>
    <row r="1314" spans="2:7" ht="12.75" customHeight="1" x14ac:dyDescent="0.25">
      <c r="B1314" s="2"/>
      <c r="C1314" s="2"/>
      <c r="E1314" s="2"/>
      <c r="G1314" s="4"/>
    </row>
    <row r="1315" spans="2:7" ht="12.75" customHeight="1" x14ac:dyDescent="0.25">
      <c r="B1315" s="2"/>
      <c r="C1315" s="2"/>
      <c r="E1315" s="2"/>
      <c r="G1315" s="4"/>
    </row>
    <row r="1316" spans="2:7" ht="12.75" customHeight="1" x14ac:dyDescent="0.25">
      <c r="B1316" s="2"/>
      <c r="C1316" s="2"/>
      <c r="E1316" s="2"/>
      <c r="G1316" s="4"/>
    </row>
    <row r="1317" spans="2:7" ht="12.75" customHeight="1" x14ac:dyDescent="0.25">
      <c r="B1317" s="2"/>
      <c r="C1317" s="2"/>
      <c r="E1317" s="2"/>
      <c r="G1317" s="4"/>
    </row>
    <row r="1318" spans="2:7" ht="12.75" customHeight="1" x14ac:dyDescent="0.25">
      <c r="B1318" s="2"/>
      <c r="C1318" s="2"/>
      <c r="E1318" s="2"/>
      <c r="G1318" s="4"/>
    </row>
    <row r="1319" spans="2:7" ht="12.75" customHeight="1" x14ac:dyDescent="0.25">
      <c r="B1319" s="2"/>
      <c r="C1319" s="2"/>
      <c r="E1319" s="2"/>
      <c r="G1319" s="4"/>
    </row>
    <row r="1320" spans="2:7" ht="12.75" customHeight="1" x14ac:dyDescent="0.25">
      <c r="B1320" s="2"/>
      <c r="C1320" s="2"/>
      <c r="E1320" s="2"/>
      <c r="G1320" s="4"/>
    </row>
    <row r="1321" spans="2:7" ht="12.75" customHeight="1" x14ac:dyDescent="0.25">
      <c r="B1321" s="2"/>
      <c r="C1321" s="2"/>
      <c r="E1321" s="2"/>
      <c r="G1321" s="4"/>
    </row>
    <row r="1322" spans="2:7" ht="12.75" customHeight="1" x14ac:dyDescent="0.25">
      <c r="B1322" s="2"/>
      <c r="C1322" s="2"/>
      <c r="E1322" s="2"/>
      <c r="G1322" s="4"/>
    </row>
    <row r="1323" spans="2:7" ht="12.75" customHeight="1" x14ac:dyDescent="0.25">
      <c r="B1323" s="2"/>
      <c r="C1323" s="2"/>
      <c r="E1323" s="2"/>
      <c r="G1323" s="4"/>
    </row>
    <row r="1324" spans="2:7" ht="12.75" customHeight="1" x14ac:dyDescent="0.25">
      <c r="B1324" s="2"/>
      <c r="C1324" s="2"/>
      <c r="E1324" s="2"/>
      <c r="G1324" s="4"/>
    </row>
    <row r="1325" spans="2:7" ht="12.75" customHeight="1" x14ac:dyDescent="0.25">
      <c r="B1325" s="2"/>
      <c r="C1325" s="2"/>
      <c r="E1325" s="2"/>
      <c r="G1325" s="4"/>
    </row>
    <row r="1326" spans="2:7" ht="12.75" customHeight="1" x14ac:dyDescent="0.25">
      <c r="B1326" s="2"/>
      <c r="C1326" s="2"/>
      <c r="E1326" s="2"/>
      <c r="G1326" s="4"/>
    </row>
    <row r="1327" spans="2:7" ht="12.75" customHeight="1" x14ac:dyDescent="0.25">
      <c r="B1327" s="2"/>
      <c r="C1327" s="2"/>
      <c r="E1327" s="2"/>
      <c r="G1327" s="4"/>
    </row>
    <row r="1328" spans="2:7" ht="12.75" customHeight="1" x14ac:dyDescent="0.25">
      <c r="B1328" s="2"/>
      <c r="C1328" s="2"/>
      <c r="E1328" s="2"/>
      <c r="G1328" s="4"/>
    </row>
    <row r="1329" spans="2:7" ht="12.75" customHeight="1" x14ac:dyDescent="0.25">
      <c r="B1329" s="2"/>
      <c r="C1329" s="2"/>
      <c r="E1329" s="2"/>
      <c r="G1329" s="4"/>
    </row>
    <row r="1330" spans="2:7" ht="12.75" customHeight="1" x14ac:dyDescent="0.25">
      <c r="B1330" s="2"/>
      <c r="C1330" s="2"/>
      <c r="E1330" s="2"/>
      <c r="G1330" s="4"/>
    </row>
    <row r="1331" spans="2:7" ht="12.75" customHeight="1" x14ac:dyDescent="0.25">
      <c r="B1331" s="2"/>
      <c r="C1331" s="2"/>
      <c r="E1331" s="2"/>
      <c r="G1331" s="4"/>
    </row>
    <row r="1332" spans="2:7" ht="12.75" customHeight="1" x14ac:dyDescent="0.25">
      <c r="B1332" s="2"/>
      <c r="C1332" s="2"/>
      <c r="E1332" s="2"/>
      <c r="G1332" s="4"/>
    </row>
    <row r="1333" spans="2:7" ht="12.75" customHeight="1" x14ac:dyDescent="0.25">
      <c r="B1333" s="2"/>
      <c r="C1333" s="2"/>
      <c r="E1333" s="2"/>
      <c r="G1333" s="4"/>
    </row>
    <row r="1334" spans="2:7" ht="12.75" customHeight="1" x14ac:dyDescent="0.25">
      <c r="B1334" s="2"/>
      <c r="C1334" s="2"/>
      <c r="E1334" s="2"/>
      <c r="G1334" s="4"/>
    </row>
    <row r="1335" spans="2:7" ht="12.75" customHeight="1" x14ac:dyDescent="0.25">
      <c r="B1335" s="2"/>
      <c r="C1335" s="2"/>
      <c r="E1335" s="2"/>
      <c r="G1335" s="4"/>
    </row>
    <row r="1336" spans="2:7" ht="12.75" customHeight="1" x14ac:dyDescent="0.25">
      <c r="B1336" s="2"/>
      <c r="C1336" s="2"/>
      <c r="E1336" s="2"/>
      <c r="G1336" s="4"/>
    </row>
    <row r="1337" spans="2:7" ht="12.75" customHeight="1" x14ac:dyDescent="0.25">
      <c r="B1337" s="2"/>
      <c r="C1337" s="2"/>
      <c r="E1337" s="2"/>
      <c r="G1337" s="4"/>
    </row>
    <row r="1338" spans="2:7" ht="12.75" customHeight="1" x14ac:dyDescent="0.25">
      <c r="B1338" s="2"/>
      <c r="C1338" s="2"/>
      <c r="E1338" s="2"/>
      <c r="G1338" s="4"/>
    </row>
    <row r="1339" spans="2:7" ht="12.75" customHeight="1" x14ac:dyDescent="0.25">
      <c r="B1339" s="2"/>
      <c r="C1339" s="2"/>
      <c r="E1339" s="2"/>
      <c r="G1339" s="4"/>
    </row>
    <row r="1340" spans="2:7" ht="12.75" customHeight="1" x14ac:dyDescent="0.25">
      <c r="B1340" s="2"/>
      <c r="C1340" s="2"/>
      <c r="E1340" s="2"/>
      <c r="G1340" s="4"/>
    </row>
    <row r="1341" spans="2:7" ht="12.75" customHeight="1" x14ac:dyDescent="0.25">
      <c r="B1341" s="2"/>
      <c r="C1341" s="2"/>
      <c r="E1341" s="2"/>
      <c r="G1341" s="4"/>
    </row>
    <row r="1342" spans="2:7" ht="12.75" customHeight="1" x14ac:dyDescent="0.25">
      <c r="B1342" s="2"/>
      <c r="C1342" s="2"/>
      <c r="E1342" s="2"/>
      <c r="G1342" s="4"/>
    </row>
    <row r="1343" spans="2:7" ht="12.75" customHeight="1" x14ac:dyDescent="0.25">
      <c r="B1343" s="2"/>
      <c r="C1343" s="2"/>
      <c r="E1343" s="2"/>
      <c r="G1343" s="4"/>
    </row>
    <row r="1344" spans="2:7" ht="12.75" customHeight="1" x14ac:dyDescent="0.25">
      <c r="B1344" s="2"/>
      <c r="C1344" s="2"/>
      <c r="E1344" s="2"/>
      <c r="G1344" s="4"/>
    </row>
    <row r="1345" spans="2:7" ht="12.75" customHeight="1" x14ac:dyDescent="0.25">
      <c r="B1345" s="2"/>
      <c r="C1345" s="2"/>
      <c r="E1345" s="2"/>
      <c r="G1345" s="4"/>
    </row>
    <row r="1346" spans="2:7" ht="12.75" customHeight="1" x14ac:dyDescent="0.25">
      <c r="B1346" s="2"/>
      <c r="C1346" s="2"/>
      <c r="E1346" s="2"/>
      <c r="G1346" s="4"/>
    </row>
    <row r="1347" spans="2:7" ht="12.75" customHeight="1" x14ac:dyDescent="0.25">
      <c r="B1347" s="2"/>
      <c r="C1347" s="2"/>
      <c r="E1347" s="2"/>
      <c r="G1347" s="4"/>
    </row>
    <row r="1348" spans="2:7" ht="12.75" customHeight="1" x14ac:dyDescent="0.25">
      <c r="B1348" s="2"/>
      <c r="C1348" s="2"/>
      <c r="E1348" s="2"/>
      <c r="G1348" s="4"/>
    </row>
    <row r="1349" spans="2:7" ht="12.75" customHeight="1" x14ac:dyDescent="0.25">
      <c r="B1349" s="2"/>
      <c r="C1349" s="2"/>
      <c r="E1349" s="2"/>
      <c r="G1349" s="4"/>
    </row>
    <row r="1350" spans="2:7" ht="12.75" customHeight="1" x14ac:dyDescent="0.25">
      <c r="B1350" s="2"/>
      <c r="C1350" s="2"/>
      <c r="E1350" s="2"/>
      <c r="G1350" s="4"/>
    </row>
    <row r="1351" spans="2:7" ht="12.75" customHeight="1" x14ac:dyDescent="0.25">
      <c r="B1351" s="2"/>
      <c r="C1351" s="2"/>
      <c r="E1351" s="2"/>
      <c r="G1351" s="4"/>
    </row>
    <row r="1352" spans="2:7" ht="12.75" customHeight="1" x14ac:dyDescent="0.25">
      <c r="B1352" s="2"/>
      <c r="C1352" s="2"/>
      <c r="E1352" s="2"/>
      <c r="G1352" s="4"/>
    </row>
    <row r="1353" spans="2:7" ht="12.75" customHeight="1" x14ac:dyDescent="0.25">
      <c r="B1353" s="2"/>
      <c r="C1353" s="2"/>
      <c r="E1353" s="2"/>
      <c r="G1353" s="4"/>
    </row>
    <row r="1354" spans="2:7" ht="12.75" customHeight="1" x14ac:dyDescent="0.25">
      <c r="B1354" s="2"/>
      <c r="C1354" s="2"/>
      <c r="E1354" s="2"/>
      <c r="G1354" s="4"/>
    </row>
    <row r="1355" spans="2:7" ht="12.75" customHeight="1" x14ac:dyDescent="0.25">
      <c r="B1355" s="2"/>
      <c r="C1355" s="2"/>
      <c r="E1355" s="2"/>
      <c r="G1355" s="4"/>
    </row>
    <row r="1356" spans="2:7" ht="12.75" customHeight="1" x14ac:dyDescent="0.25">
      <c r="B1356" s="2"/>
      <c r="C1356" s="2"/>
      <c r="E1356" s="2"/>
      <c r="G1356" s="4"/>
    </row>
    <row r="1357" spans="2:7" ht="12.75" customHeight="1" x14ac:dyDescent="0.25">
      <c r="B1357" s="2"/>
      <c r="C1357" s="2"/>
      <c r="E1357" s="2"/>
      <c r="G1357" s="4"/>
    </row>
    <row r="1358" spans="2:7" ht="12.75" customHeight="1" x14ac:dyDescent="0.25">
      <c r="B1358" s="2"/>
      <c r="C1358" s="2"/>
      <c r="E1358" s="2"/>
      <c r="G1358" s="4"/>
    </row>
    <row r="1359" spans="2:7" ht="12.75" customHeight="1" x14ac:dyDescent="0.25">
      <c r="B1359" s="2"/>
      <c r="C1359" s="2"/>
      <c r="E1359" s="2"/>
      <c r="G1359" s="4"/>
    </row>
    <row r="1360" spans="2:7" ht="12.75" customHeight="1" x14ac:dyDescent="0.25">
      <c r="B1360" s="2"/>
      <c r="C1360" s="2"/>
      <c r="E1360" s="2"/>
      <c r="G1360" s="4"/>
    </row>
    <row r="1361" spans="2:7" ht="12.75" customHeight="1" x14ac:dyDescent="0.25">
      <c r="B1361" s="2"/>
      <c r="C1361" s="2"/>
      <c r="E1361" s="2"/>
      <c r="G1361" s="4"/>
    </row>
    <row r="1362" spans="2:7" ht="12.75" customHeight="1" x14ac:dyDescent="0.25">
      <c r="B1362" s="2"/>
      <c r="C1362" s="2"/>
      <c r="E1362" s="2"/>
      <c r="G1362" s="4"/>
    </row>
    <row r="1363" spans="2:7" ht="12.75" customHeight="1" x14ac:dyDescent="0.25">
      <c r="B1363" s="2"/>
      <c r="C1363" s="2"/>
      <c r="E1363" s="2"/>
      <c r="G1363" s="4"/>
    </row>
    <row r="1364" spans="2:7" ht="12.75" customHeight="1" x14ac:dyDescent="0.25">
      <c r="B1364" s="2"/>
      <c r="C1364" s="2"/>
      <c r="E1364" s="2"/>
      <c r="G1364" s="4"/>
    </row>
    <row r="1365" spans="2:7" ht="12.75" customHeight="1" x14ac:dyDescent="0.25">
      <c r="B1365" s="2"/>
      <c r="C1365" s="2"/>
      <c r="E1365" s="2"/>
      <c r="G1365" s="4"/>
    </row>
    <row r="1366" spans="2:7" ht="12.75" customHeight="1" x14ac:dyDescent="0.25">
      <c r="B1366" s="2"/>
      <c r="C1366" s="2"/>
      <c r="E1366" s="2"/>
      <c r="G1366" s="4"/>
    </row>
    <row r="1367" spans="2:7" ht="12.75" customHeight="1" x14ac:dyDescent="0.25">
      <c r="B1367" s="2"/>
      <c r="C1367" s="2"/>
      <c r="E1367" s="2"/>
      <c r="G1367" s="4"/>
    </row>
    <row r="1368" spans="2:7" ht="12.75" customHeight="1" x14ac:dyDescent="0.25">
      <c r="B1368" s="2"/>
      <c r="C1368" s="2"/>
      <c r="E1368" s="2"/>
      <c r="G1368" s="4"/>
    </row>
    <row r="1369" spans="2:7" ht="12.75" customHeight="1" x14ac:dyDescent="0.25">
      <c r="B1369" s="2"/>
      <c r="C1369" s="2"/>
      <c r="E1369" s="2"/>
      <c r="G1369" s="4"/>
    </row>
    <row r="1370" spans="2:7" ht="12.75" customHeight="1" x14ac:dyDescent="0.25">
      <c r="B1370" s="2"/>
      <c r="C1370" s="2"/>
      <c r="E1370" s="2"/>
      <c r="G1370" s="4"/>
    </row>
    <row r="1371" spans="2:7" ht="12.75" customHeight="1" x14ac:dyDescent="0.25">
      <c r="B1371" s="2"/>
      <c r="C1371" s="2"/>
      <c r="E1371" s="2"/>
      <c r="G1371" s="4"/>
    </row>
    <row r="1372" spans="2:7" ht="12.75" customHeight="1" x14ac:dyDescent="0.25">
      <c r="B1372" s="2"/>
      <c r="C1372" s="2"/>
      <c r="E1372" s="2"/>
      <c r="G1372" s="4"/>
    </row>
    <row r="1373" spans="2:7" ht="12.75" customHeight="1" x14ac:dyDescent="0.25">
      <c r="B1373" s="2"/>
      <c r="C1373" s="2"/>
      <c r="E1373" s="2"/>
      <c r="G1373" s="4"/>
    </row>
    <row r="1374" spans="2:7" ht="12.75" customHeight="1" x14ac:dyDescent="0.25">
      <c r="B1374" s="2"/>
      <c r="C1374" s="2"/>
      <c r="E1374" s="2"/>
      <c r="G1374" s="4"/>
    </row>
    <row r="1375" spans="2:7" ht="12.75" customHeight="1" x14ac:dyDescent="0.25">
      <c r="B1375" s="2"/>
      <c r="C1375" s="2"/>
      <c r="E1375" s="2"/>
      <c r="G1375" s="4"/>
    </row>
    <row r="1376" spans="2:7" ht="12.75" customHeight="1" x14ac:dyDescent="0.25">
      <c r="B1376" s="2"/>
      <c r="C1376" s="2"/>
      <c r="E1376" s="2"/>
      <c r="G1376" s="4"/>
    </row>
    <row r="1377" spans="2:7" ht="12.75" customHeight="1" x14ac:dyDescent="0.25">
      <c r="B1377" s="2"/>
      <c r="C1377" s="2"/>
      <c r="E1377" s="2"/>
      <c r="G1377" s="4"/>
    </row>
    <row r="1378" spans="2:7" ht="12.75" customHeight="1" x14ac:dyDescent="0.25">
      <c r="B1378" s="2"/>
      <c r="C1378" s="2"/>
      <c r="E1378" s="2"/>
      <c r="G1378" s="4"/>
    </row>
    <row r="1379" spans="2:7" ht="12.75" customHeight="1" x14ac:dyDescent="0.25">
      <c r="B1379" s="2"/>
      <c r="C1379" s="2"/>
      <c r="E1379" s="2"/>
      <c r="G1379" s="4"/>
    </row>
    <row r="1380" spans="2:7" ht="12.75" customHeight="1" x14ac:dyDescent="0.25">
      <c r="B1380" s="2"/>
      <c r="C1380" s="2"/>
      <c r="E1380" s="2"/>
      <c r="G1380" s="4"/>
    </row>
    <row r="1381" spans="2:7" ht="12.75" customHeight="1" x14ac:dyDescent="0.25">
      <c r="B1381" s="2"/>
      <c r="C1381" s="2"/>
      <c r="E1381" s="2"/>
      <c r="G1381" s="4"/>
    </row>
    <row r="1382" spans="2:7" ht="12.75" customHeight="1" x14ac:dyDescent="0.25">
      <c r="B1382" s="2"/>
      <c r="C1382" s="2"/>
      <c r="E1382" s="2"/>
      <c r="G1382" s="4"/>
    </row>
    <row r="1383" spans="2:7" ht="12.75" customHeight="1" x14ac:dyDescent="0.25">
      <c r="B1383" s="2"/>
      <c r="C1383" s="2"/>
      <c r="E1383" s="2"/>
      <c r="G1383" s="4"/>
    </row>
    <row r="1384" spans="2:7" ht="12.75" customHeight="1" x14ac:dyDescent="0.25">
      <c r="B1384" s="2"/>
      <c r="C1384" s="2"/>
      <c r="E1384" s="2"/>
      <c r="G1384" s="4"/>
    </row>
    <row r="1385" spans="2:7" ht="12.75" customHeight="1" x14ac:dyDescent="0.25">
      <c r="B1385" s="2"/>
      <c r="C1385" s="2"/>
      <c r="E1385" s="2"/>
      <c r="G1385" s="4"/>
    </row>
    <row r="1386" spans="2:7" ht="12.75" customHeight="1" x14ac:dyDescent="0.25">
      <c r="B1386" s="2"/>
      <c r="C1386" s="2"/>
      <c r="E1386" s="2"/>
      <c r="G1386" s="4"/>
    </row>
    <row r="1387" spans="2:7" ht="12.75" customHeight="1" x14ac:dyDescent="0.25">
      <c r="B1387" s="2"/>
      <c r="C1387" s="2"/>
      <c r="E1387" s="2"/>
      <c r="G1387" s="4"/>
    </row>
    <row r="1388" spans="2:7" ht="12.75" customHeight="1" x14ac:dyDescent="0.25">
      <c r="B1388" s="2"/>
      <c r="C1388" s="2"/>
      <c r="E1388" s="2"/>
      <c r="G1388" s="4"/>
    </row>
    <row r="1389" spans="2:7" ht="12.75" customHeight="1" x14ac:dyDescent="0.25">
      <c r="B1389" s="2"/>
      <c r="C1389" s="2"/>
      <c r="E1389" s="2"/>
      <c r="G1389" s="4"/>
    </row>
    <row r="1390" spans="2:7" ht="12.75" customHeight="1" x14ac:dyDescent="0.25">
      <c r="B1390" s="2"/>
      <c r="C1390" s="2"/>
      <c r="E1390" s="2"/>
      <c r="G1390" s="4"/>
    </row>
    <row r="1391" spans="2:7" ht="12.75" customHeight="1" x14ac:dyDescent="0.25">
      <c r="B1391" s="2"/>
      <c r="C1391" s="2"/>
      <c r="E1391" s="2"/>
      <c r="G1391" s="4"/>
    </row>
    <row r="1392" spans="2:7" ht="12.75" customHeight="1" x14ac:dyDescent="0.25">
      <c r="B1392" s="2"/>
      <c r="C1392" s="2"/>
      <c r="E1392" s="2"/>
      <c r="G1392" s="4"/>
    </row>
    <row r="1393" spans="2:7" ht="12.75" customHeight="1" x14ac:dyDescent="0.25">
      <c r="B1393" s="2"/>
      <c r="C1393" s="2"/>
      <c r="E1393" s="2"/>
      <c r="G1393" s="4"/>
    </row>
    <row r="1394" spans="2:7" ht="12.75" customHeight="1" x14ac:dyDescent="0.25">
      <c r="B1394" s="2"/>
      <c r="C1394" s="2"/>
      <c r="E1394" s="2"/>
      <c r="G1394" s="4"/>
    </row>
    <row r="1395" spans="2:7" ht="12.75" customHeight="1" x14ac:dyDescent="0.25">
      <c r="B1395" s="2"/>
      <c r="C1395" s="2"/>
      <c r="E1395" s="2"/>
      <c r="G1395" s="4"/>
    </row>
    <row r="1396" spans="2:7" ht="12.75" customHeight="1" x14ac:dyDescent="0.25">
      <c r="B1396" s="2"/>
      <c r="C1396" s="2"/>
      <c r="E1396" s="2"/>
      <c r="G1396" s="4"/>
    </row>
    <row r="1397" spans="2:7" ht="12.75" customHeight="1" x14ac:dyDescent="0.25">
      <c r="B1397" s="2"/>
      <c r="C1397" s="2"/>
      <c r="E1397" s="2"/>
      <c r="G1397" s="4"/>
    </row>
    <row r="1398" spans="2:7" ht="12.75" customHeight="1" x14ac:dyDescent="0.25">
      <c r="B1398" s="2"/>
      <c r="C1398" s="2"/>
      <c r="E1398" s="2"/>
      <c r="G1398" s="4"/>
    </row>
    <row r="1399" spans="2:7" ht="12.75" customHeight="1" x14ac:dyDescent="0.25">
      <c r="B1399" s="2"/>
      <c r="C1399" s="2"/>
      <c r="E1399" s="2"/>
      <c r="G1399" s="4"/>
    </row>
    <row r="1400" spans="2:7" ht="12.75" customHeight="1" x14ac:dyDescent="0.25">
      <c r="B1400" s="2"/>
      <c r="C1400" s="2"/>
      <c r="E1400" s="2"/>
      <c r="G1400" s="4"/>
    </row>
    <row r="1401" spans="2:7" ht="12.75" customHeight="1" x14ac:dyDescent="0.25">
      <c r="B1401" s="2"/>
      <c r="C1401" s="2"/>
      <c r="E1401" s="2"/>
      <c r="G1401" s="4"/>
    </row>
    <row r="1402" spans="2:7" ht="12.75" customHeight="1" x14ac:dyDescent="0.25">
      <c r="B1402" s="2"/>
      <c r="C1402" s="2"/>
      <c r="E1402" s="2"/>
      <c r="G1402" s="4"/>
    </row>
    <row r="1403" spans="2:7" ht="12.75" customHeight="1" x14ac:dyDescent="0.25">
      <c r="B1403" s="2"/>
      <c r="C1403" s="2"/>
      <c r="E1403" s="2"/>
      <c r="G1403" s="4"/>
    </row>
    <row r="1404" spans="2:7" ht="12.75" customHeight="1" x14ac:dyDescent="0.25">
      <c r="B1404" s="2"/>
      <c r="C1404" s="2"/>
      <c r="E1404" s="2"/>
      <c r="G1404" s="4"/>
    </row>
    <row r="1405" spans="2:7" ht="12.75" customHeight="1" x14ac:dyDescent="0.25">
      <c r="B1405" s="2"/>
      <c r="C1405" s="2"/>
      <c r="E1405" s="2"/>
      <c r="G1405" s="4"/>
    </row>
    <row r="1406" spans="2:7" ht="12.75" customHeight="1" x14ac:dyDescent="0.25">
      <c r="B1406" s="2"/>
      <c r="C1406" s="2"/>
      <c r="E1406" s="2"/>
      <c r="G1406" s="4"/>
    </row>
    <row r="1407" spans="2:7" ht="12.75" customHeight="1" x14ac:dyDescent="0.25">
      <c r="B1407" s="2"/>
      <c r="C1407" s="2"/>
      <c r="E1407" s="2"/>
      <c r="G1407" s="4"/>
    </row>
    <row r="1408" spans="2:7" ht="12.75" customHeight="1" x14ac:dyDescent="0.25">
      <c r="B1408" s="2"/>
      <c r="C1408" s="2"/>
      <c r="E1408" s="2"/>
      <c r="G1408" s="4"/>
    </row>
    <row r="1409" spans="2:559" ht="12.75" customHeight="1" x14ac:dyDescent="0.25">
      <c r="B1409" s="2"/>
      <c r="C1409" s="2"/>
      <c r="E1409" s="2"/>
      <c r="G1409" s="4"/>
    </row>
    <row r="1410" spans="2:559" ht="12.75" customHeight="1" x14ac:dyDescent="0.25">
      <c r="B1410" s="2"/>
      <c r="C1410" s="2"/>
      <c r="E1410" s="2"/>
      <c r="G1410" s="4"/>
    </row>
    <row r="1411" spans="2:559" ht="12.75" customHeight="1" x14ac:dyDescent="0.25">
      <c r="B1411" s="2"/>
      <c r="C1411" s="2"/>
      <c r="E1411" s="2"/>
      <c r="G1411" s="4"/>
    </row>
    <row r="1412" spans="2:559" ht="12.75" customHeight="1" x14ac:dyDescent="0.25">
      <c r="B1412" s="2"/>
      <c r="C1412" s="2"/>
      <c r="E1412" s="2"/>
      <c r="G1412" s="4"/>
    </row>
    <row r="1413" spans="2:559" ht="12.75" customHeight="1" x14ac:dyDescent="0.25">
      <c r="B1413" s="2"/>
      <c r="C1413" s="2"/>
      <c r="E1413" s="2"/>
      <c r="G1413" s="4"/>
    </row>
    <row r="1414" spans="2:559" ht="12.75" customHeight="1" x14ac:dyDescent="0.25">
      <c r="B1414" s="2"/>
      <c r="C1414" s="2"/>
      <c r="E1414" s="2"/>
      <c r="G1414" s="4"/>
    </row>
    <row r="1415" spans="2:559" ht="12.75" customHeight="1" x14ac:dyDescent="0.25">
      <c r="B1415" s="2"/>
      <c r="C1415" s="2"/>
      <c r="E1415" s="2"/>
      <c r="G1415" s="4"/>
    </row>
    <row r="1416" spans="2:559" ht="12.75" customHeight="1" x14ac:dyDescent="0.25">
      <c r="B1416" s="2"/>
      <c r="C1416" s="2"/>
      <c r="E1416" s="2"/>
      <c r="G1416" s="4"/>
    </row>
    <row r="1417" spans="2:559" ht="12.75" customHeight="1" x14ac:dyDescent="0.25">
      <c r="B1417" s="2"/>
      <c r="C1417" s="2"/>
      <c r="E1417" s="2"/>
      <c r="G1417" s="4"/>
    </row>
    <row r="1418" spans="2:559" ht="12.75" customHeight="1" x14ac:dyDescent="0.25">
      <c r="B1418" s="2"/>
      <c r="C1418" s="2"/>
      <c r="E1418" s="2"/>
      <c r="G1418" s="4"/>
    </row>
    <row r="1419" spans="2:559" ht="12.75" customHeight="1" x14ac:dyDescent="0.25">
      <c r="B1419" s="2"/>
      <c r="C1419" s="2"/>
      <c r="E1419" s="2"/>
      <c r="G1419" s="4"/>
      <c r="UM1419" s="1">
        <v>0</v>
      </c>
    </row>
    <row r="1420" spans="2:559" ht="15.75" customHeight="1" x14ac:dyDescent="0.25"/>
    <row r="1421" spans="2:559" ht="15.75" customHeight="1" x14ac:dyDescent="0.25"/>
    <row r="1422" spans="2:559" ht="15.75" customHeight="1" x14ac:dyDescent="0.25"/>
    <row r="1423" spans="2:559" ht="15.75" customHeight="1" x14ac:dyDescent="0.25"/>
    <row r="1424" spans="2:559" ht="15.75" customHeight="1" x14ac:dyDescent="0.25"/>
    <row r="1425" ht="15.75" customHeight="1" x14ac:dyDescent="0.25"/>
    <row r="1426" ht="15.75" customHeight="1" x14ac:dyDescent="0.25"/>
    <row r="1427" ht="15.75" customHeight="1" x14ac:dyDescent="0.25"/>
    <row r="1428" ht="15.75" customHeight="1" x14ac:dyDescent="0.25"/>
    <row r="1429" ht="15.75" customHeight="1" x14ac:dyDescent="0.25"/>
    <row r="1430" ht="15.75" customHeight="1" x14ac:dyDescent="0.25"/>
    <row r="1431" ht="15.75" customHeight="1" x14ac:dyDescent="0.25"/>
    <row r="1432" ht="15.75" customHeight="1" x14ac:dyDescent="0.25"/>
    <row r="1433" ht="15.75" customHeight="1" x14ac:dyDescent="0.25"/>
    <row r="1434" ht="15.75" customHeight="1" x14ac:dyDescent="0.25"/>
    <row r="1435" ht="15.75" customHeight="1" x14ac:dyDescent="0.25"/>
    <row r="1436" ht="15.75" customHeight="1" x14ac:dyDescent="0.25"/>
    <row r="1437" ht="15.75" customHeight="1" x14ac:dyDescent="0.25"/>
    <row r="1438" ht="15.75" customHeight="1" x14ac:dyDescent="0.25"/>
    <row r="1439" ht="15.75" customHeight="1" x14ac:dyDescent="0.25"/>
    <row r="1440" ht="15.75" customHeight="1" x14ac:dyDescent="0.25"/>
    <row r="1441" ht="15.75" customHeight="1" x14ac:dyDescent="0.25"/>
    <row r="1442" ht="15.75" customHeight="1" x14ac:dyDescent="0.25"/>
    <row r="1443" ht="15.75" customHeight="1" x14ac:dyDescent="0.25"/>
    <row r="1444" ht="15.75" customHeight="1" x14ac:dyDescent="0.25"/>
    <row r="1445" ht="15.75" customHeight="1" x14ac:dyDescent="0.25"/>
    <row r="1446" ht="15.75" customHeight="1" x14ac:dyDescent="0.25"/>
    <row r="1447" ht="15.75" customHeight="1" x14ac:dyDescent="0.25"/>
    <row r="1448" ht="15.75" customHeight="1" x14ac:dyDescent="0.25"/>
    <row r="1449" ht="15.75" customHeight="1" x14ac:dyDescent="0.25"/>
    <row r="1450" ht="15.75" customHeight="1" x14ac:dyDescent="0.25"/>
    <row r="1451" ht="15.75" customHeight="1" x14ac:dyDescent="0.25"/>
    <row r="1452" ht="15.75" customHeight="1" x14ac:dyDescent="0.25"/>
    <row r="1453" ht="15.75" customHeight="1" x14ac:dyDescent="0.25"/>
    <row r="1454" ht="15.75" customHeight="1" x14ac:dyDescent="0.25"/>
    <row r="1455" ht="15.75" customHeight="1" x14ac:dyDescent="0.25"/>
    <row r="1456" ht="15.75" customHeight="1" x14ac:dyDescent="0.25"/>
    <row r="1457" ht="15.75" customHeight="1" x14ac:dyDescent="0.25"/>
    <row r="1458" ht="15.75" customHeight="1" x14ac:dyDescent="0.25"/>
    <row r="1459" ht="15.75" customHeight="1" x14ac:dyDescent="0.25"/>
    <row r="1460" ht="15.75" customHeight="1" x14ac:dyDescent="0.25"/>
    <row r="1461" ht="15.75" customHeight="1" x14ac:dyDescent="0.25"/>
    <row r="1462" ht="15.75" customHeight="1" x14ac:dyDescent="0.25"/>
    <row r="1463" ht="15.75" customHeight="1" x14ac:dyDescent="0.25"/>
    <row r="1464" ht="15.75" customHeight="1" x14ac:dyDescent="0.25"/>
    <row r="1465" ht="15.75" customHeight="1" x14ac:dyDescent="0.25"/>
    <row r="1466" ht="15.75" customHeight="1" x14ac:dyDescent="0.25"/>
    <row r="1467" ht="15.75" customHeight="1" x14ac:dyDescent="0.25"/>
    <row r="1468" ht="15.75" customHeight="1" x14ac:dyDescent="0.25"/>
    <row r="1469" ht="15.75" customHeight="1" x14ac:dyDescent="0.25"/>
    <row r="1470" ht="15.75" customHeight="1" x14ac:dyDescent="0.25"/>
    <row r="1471" ht="15.75" customHeight="1" x14ac:dyDescent="0.25"/>
    <row r="1472" ht="15.75" customHeight="1" x14ac:dyDescent="0.25"/>
    <row r="1473" ht="15.75" customHeight="1" x14ac:dyDescent="0.25"/>
    <row r="1474" ht="15.75" customHeight="1" x14ac:dyDescent="0.25"/>
    <row r="1475" ht="15.75" customHeight="1" x14ac:dyDescent="0.25"/>
    <row r="1476" ht="15.75" customHeight="1" x14ac:dyDescent="0.25"/>
    <row r="1477" ht="15.75" customHeight="1" x14ac:dyDescent="0.25"/>
    <row r="1478" ht="15.75" customHeight="1" x14ac:dyDescent="0.25"/>
    <row r="1479" ht="15.75" customHeight="1" x14ac:dyDescent="0.25"/>
    <row r="1480" ht="15.75" customHeight="1" x14ac:dyDescent="0.25"/>
    <row r="1481" ht="15.75" customHeight="1" x14ac:dyDescent="0.25"/>
    <row r="1482" ht="15.75" customHeight="1" x14ac:dyDescent="0.25"/>
    <row r="1483" ht="15.75" customHeight="1" x14ac:dyDescent="0.25"/>
    <row r="1484" ht="15.75" customHeight="1" x14ac:dyDescent="0.25"/>
    <row r="1485" ht="15.75" customHeight="1" x14ac:dyDescent="0.25"/>
    <row r="1486" ht="15.75" customHeight="1" x14ac:dyDescent="0.25"/>
    <row r="1487" ht="15.75" customHeight="1" x14ac:dyDescent="0.25"/>
    <row r="1488" ht="15.75" customHeight="1" x14ac:dyDescent="0.25"/>
    <row r="1489" ht="15.75" customHeight="1" x14ac:dyDescent="0.25"/>
    <row r="1490" ht="15.75" customHeight="1" x14ac:dyDescent="0.25"/>
    <row r="1491" ht="15.75" customHeight="1" x14ac:dyDescent="0.25"/>
    <row r="1492" ht="15.75" customHeight="1" x14ac:dyDescent="0.25"/>
    <row r="1493" ht="15.75" customHeight="1" x14ac:dyDescent="0.25"/>
    <row r="1494" ht="15.75" customHeight="1" x14ac:dyDescent="0.25"/>
    <row r="1495" ht="15.75" customHeight="1" x14ac:dyDescent="0.25"/>
    <row r="1496" ht="15.75" customHeight="1" x14ac:dyDescent="0.25"/>
    <row r="1497" ht="15.75" customHeight="1" x14ac:dyDescent="0.25"/>
    <row r="1498" ht="15.75" customHeight="1" x14ac:dyDescent="0.25"/>
    <row r="1499" ht="15.75" customHeight="1" x14ac:dyDescent="0.25"/>
    <row r="1500" ht="15.75" customHeight="1" x14ac:dyDescent="0.25"/>
    <row r="1501" ht="15.75" customHeight="1" x14ac:dyDescent="0.25"/>
    <row r="1502" ht="15.75" customHeight="1" x14ac:dyDescent="0.25"/>
    <row r="1503" ht="15.75" customHeight="1" x14ac:dyDescent="0.25"/>
    <row r="1504" ht="15.75" customHeight="1" x14ac:dyDescent="0.25"/>
    <row r="1505" ht="15.75" customHeight="1" x14ac:dyDescent="0.25"/>
    <row r="1506" ht="15.75" customHeight="1" x14ac:dyDescent="0.25"/>
    <row r="1507" ht="15.75" customHeight="1" x14ac:dyDescent="0.25"/>
    <row r="1508" ht="15.75" customHeight="1" x14ac:dyDescent="0.25"/>
    <row r="1509" ht="15.75" customHeight="1" x14ac:dyDescent="0.25"/>
    <row r="1510" ht="15.75" customHeight="1" x14ac:dyDescent="0.25"/>
    <row r="1511" ht="15.75" customHeight="1" x14ac:dyDescent="0.25"/>
    <row r="1512" ht="15.75" customHeight="1" x14ac:dyDescent="0.25"/>
    <row r="1513" ht="15.75" customHeight="1" x14ac:dyDescent="0.25"/>
    <row r="1514" ht="15.75" customHeight="1" x14ac:dyDescent="0.25"/>
    <row r="1515" ht="15.75" customHeight="1" x14ac:dyDescent="0.25"/>
    <row r="1516" ht="15.75" customHeight="1" x14ac:dyDescent="0.25"/>
    <row r="1517" ht="15.75" customHeight="1" x14ac:dyDescent="0.25"/>
    <row r="1518" ht="15.75" customHeight="1" x14ac:dyDescent="0.25"/>
    <row r="1519" ht="15.75" customHeight="1" x14ac:dyDescent="0.25"/>
    <row r="1520" ht="15.75" customHeight="1" x14ac:dyDescent="0.25"/>
    <row r="1521" ht="15.75" customHeight="1" x14ac:dyDescent="0.25"/>
    <row r="1522" ht="15.75" customHeight="1" x14ac:dyDescent="0.25"/>
    <row r="1523" ht="15.75" customHeight="1" x14ac:dyDescent="0.25"/>
    <row r="1524" ht="15.75" customHeight="1" x14ac:dyDescent="0.25"/>
    <row r="1525" ht="15.75" customHeight="1" x14ac:dyDescent="0.25"/>
    <row r="1526" ht="15.75" customHeight="1" x14ac:dyDescent="0.25"/>
    <row r="1527" ht="15.75" customHeight="1" x14ac:dyDescent="0.25"/>
    <row r="1528" ht="15.75" customHeight="1" x14ac:dyDescent="0.25"/>
    <row r="1529" ht="15.75" customHeight="1" x14ac:dyDescent="0.25"/>
    <row r="1530" ht="15.75" customHeight="1" x14ac:dyDescent="0.25"/>
    <row r="1531" ht="15.75" customHeight="1" x14ac:dyDescent="0.25"/>
    <row r="1532" ht="15.75" customHeight="1" x14ac:dyDescent="0.25"/>
    <row r="1533" ht="15.75" customHeight="1" x14ac:dyDescent="0.25"/>
    <row r="1534" ht="15.75" customHeight="1" x14ac:dyDescent="0.25"/>
    <row r="1535" ht="15.75" customHeight="1" x14ac:dyDescent="0.25"/>
    <row r="1536" ht="15.75" customHeight="1" x14ac:dyDescent="0.25"/>
    <row r="1537" ht="15.75" customHeight="1" x14ac:dyDescent="0.25"/>
    <row r="1538" ht="15.75" customHeight="1" x14ac:dyDescent="0.25"/>
    <row r="1539" ht="15.75" customHeight="1" x14ac:dyDescent="0.25"/>
    <row r="1540" ht="15.75" customHeight="1" x14ac:dyDescent="0.25"/>
    <row r="1541" ht="15.75" customHeight="1" x14ac:dyDescent="0.25"/>
    <row r="1542" ht="15.75" customHeight="1" x14ac:dyDescent="0.25"/>
    <row r="1543" ht="15.75" customHeight="1" x14ac:dyDescent="0.25"/>
    <row r="1544" ht="15.75" customHeight="1" x14ac:dyDescent="0.25"/>
    <row r="1545" ht="15.75" customHeight="1" x14ac:dyDescent="0.25"/>
    <row r="1546" ht="15.75" customHeight="1" x14ac:dyDescent="0.25"/>
    <row r="1547" ht="15.75" customHeight="1" x14ac:dyDescent="0.25"/>
    <row r="1548" ht="15.75" customHeight="1" x14ac:dyDescent="0.25"/>
    <row r="1549" ht="15.75" customHeight="1" x14ac:dyDescent="0.25"/>
    <row r="1550" ht="15.75" customHeight="1" x14ac:dyDescent="0.25"/>
    <row r="1551" ht="15.75" customHeight="1" x14ac:dyDescent="0.25"/>
    <row r="1552" ht="15.75" customHeight="1" x14ac:dyDescent="0.25"/>
    <row r="1553" ht="15.75" customHeight="1" x14ac:dyDescent="0.25"/>
    <row r="1554" ht="15.75" customHeight="1" x14ac:dyDescent="0.25"/>
    <row r="1555" ht="15.75" customHeight="1" x14ac:dyDescent="0.25"/>
    <row r="1556" ht="15.75" customHeight="1" x14ac:dyDescent="0.25"/>
    <row r="1557" ht="15.75" customHeight="1" x14ac:dyDescent="0.25"/>
    <row r="1558" ht="15.75" customHeight="1" x14ac:dyDescent="0.25"/>
    <row r="1559" ht="15.75" customHeight="1" x14ac:dyDescent="0.25"/>
    <row r="1560" ht="15.75" customHeight="1" x14ac:dyDescent="0.25"/>
    <row r="1561" ht="15.75" customHeight="1" x14ac:dyDescent="0.25"/>
    <row r="1562" ht="15.75" customHeight="1" x14ac:dyDescent="0.25"/>
    <row r="1563" ht="15.75" customHeight="1" x14ac:dyDescent="0.25"/>
    <row r="1564" ht="15.75" customHeight="1" x14ac:dyDescent="0.25"/>
    <row r="1565" ht="15.75" customHeight="1" x14ac:dyDescent="0.25"/>
    <row r="1566" ht="15.75" customHeight="1" x14ac:dyDescent="0.25"/>
    <row r="1567" ht="15.75" customHeight="1" x14ac:dyDescent="0.25"/>
    <row r="1568" ht="15.75" customHeight="1" x14ac:dyDescent="0.25"/>
    <row r="1569" ht="15.75" customHeight="1" x14ac:dyDescent="0.25"/>
    <row r="1570" ht="15.75" customHeight="1" x14ac:dyDescent="0.25"/>
    <row r="1571" ht="15.75" customHeight="1" x14ac:dyDescent="0.25"/>
    <row r="1572" ht="15.75" customHeight="1" x14ac:dyDescent="0.25"/>
    <row r="1573" ht="15.75" customHeight="1" x14ac:dyDescent="0.25"/>
    <row r="1574" ht="15.75" customHeight="1" x14ac:dyDescent="0.25"/>
    <row r="1575" ht="15.75" customHeight="1" x14ac:dyDescent="0.25"/>
    <row r="1576" ht="15.75" customHeight="1" x14ac:dyDescent="0.25"/>
    <row r="1577" ht="15.75" customHeight="1" x14ac:dyDescent="0.25"/>
    <row r="1578" ht="15.75" customHeight="1" x14ac:dyDescent="0.25"/>
    <row r="1579" ht="15.75" customHeight="1" x14ac:dyDescent="0.25"/>
    <row r="1580" ht="15.75" customHeight="1" x14ac:dyDescent="0.25"/>
    <row r="1581" ht="15.75" customHeight="1" x14ac:dyDescent="0.25"/>
    <row r="1582" ht="15.75" customHeight="1" x14ac:dyDescent="0.25"/>
    <row r="1583" ht="15.75" customHeight="1" x14ac:dyDescent="0.25"/>
    <row r="1584" ht="15.75" customHeight="1" x14ac:dyDescent="0.25"/>
    <row r="1585" ht="15.75" customHeight="1" x14ac:dyDescent="0.25"/>
    <row r="1586" ht="15.75" customHeight="1" x14ac:dyDescent="0.25"/>
    <row r="1587" ht="15.75" customHeight="1" x14ac:dyDescent="0.25"/>
    <row r="1588" ht="15.75" customHeight="1" x14ac:dyDescent="0.25"/>
    <row r="1589" ht="15.75" customHeight="1" x14ac:dyDescent="0.25"/>
    <row r="1590" ht="15.75" customHeight="1" x14ac:dyDescent="0.25"/>
    <row r="1591" ht="15.75" customHeight="1" x14ac:dyDescent="0.25"/>
    <row r="1592" ht="15.75" customHeight="1" x14ac:dyDescent="0.25"/>
    <row r="1593" ht="15.75" customHeight="1" x14ac:dyDescent="0.25"/>
    <row r="1594" ht="15.75" customHeight="1" x14ac:dyDescent="0.25"/>
    <row r="1595" ht="15.75" customHeight="1" x14ac:dyDescent="0.25"/>
    <row r="1596" ht="15.75" customHeight="1" x14ac:dyDescent="0.25"/>
    <row r="1597" ht="15.75" customHeight="1" x14ac:dyDescent="0.25"/>
    <row r="1598" ht="15.75" customHeight="1" x14ac:dyDescent="0.25"/>
    <row r="1599" ht="15.75" customHeight="1" x14ac:dyDescent="0.25"/>
    <row r="1600" ht="15.75" customHeight="1" x14ac:dyDescent="0.25"/>
    <row r="1601" ht="15.75" customHeight="1" x14ac:dyDescent="0.25"/>
    <row r="1602" ht="15.75" customHeight="1" x14ac:dyDescent="0.25"/>
    <row r="1603" ht="15.75" customHeight="1" x14ac:dyDescent="0.25"/>
    <row r="1604" ht="15.75" customHeight="1" x14ac:dyDescent="0.25"/>
    <row r="1605" ht="15.75" customHeight="1" x14ac:dyDescent="0.25"/>
    <row r="1606" ht="15.75" customHeight="1" x14ac:dyDescent="0.25"/>
    <row r="1607" ht="15.75" customHeight="1" x14ac:dyDescent="0.25"/>
    <row r="1608" ht="15.75" customHeight="1" x14ac:dyDescent="0.25"/>
    <row r="1609" ht="15.75" customHeight="1" x14ac:dyDescent="0.25"/>
    <row r="1610" ht="15.75" customHeight="1" x14ac:dyDescent="0.25"/>
    <row r="1611" ht="15.75" customHeight="1" x14ac:dyDescent="0.25"/>
    <row r="1612" ht="15.75" customHeight="1" x14ac:dyDescent="0.25"/>
    <row r="1613" ht="15.75" customHeight="1" x14ac:dyDescent="0.25"/>
    <row r="1614" ht="15.75" customHeight="1" x14ac:dyDescent="0.25"/>
    <row r="1615" ht="15.75" customHeight="1" x14ac:dyDescent="0.25"/>
    <row r="1616" ht="15.75" customHeight="1" x14ac:dyDescent="0.25"/>
    <row r="1617" ht="15.75" customHeight="1" x14ac:dyDescent="0.25"/>
    <row r="1618" ht="15.75" customHeight="1" x14ac:dyDescent="0.25"/>
    <row r="1619" ht="15.75" customHeight="1" x14ac:dyDescent="0.25"/>
    <row r="1620" ht="15.75" customHeight="1" x14ac:dyDescent="0.25"/>
    <row r="1621" ht="15.75" customHeight="1" x14ac:dyDescent="0.25"/>
    <row r="1622" ht="15.75" customHeight="1" x14ac:dyDescent="0.25"/>
    <row r="1623" ht="15.75" customHeight="1" x14ac:dyDescent="0.25"/>
    <row r="1624" ht="15.75" customHeight="1" x14ac:dyDescent="0.25"/>
    <row r="1625" ht="15.75" customHeight="1" x14ac:dyDescent="0.25"/>
    <row r="1626" ht="15.75" customHeight="1" x14ac:dyDescent="0.25"/>
    <row r="1627" ht="15.75" customHeight="1" x14ac:dyDescent="0.25"/>
    <row r="1628" ht="15.75" customHeight="1" x14ac:dyDescent="0.25"/>
    <row r="1629" ht="15.75" customHeight="1" x14ac:dyDescent="0.25"/>
    <row r="1630" ht="15.75" customHeight="1" x14ac:dyDescent="0.25"/>
    <row r="1631" ht="15.75" customHeight="1" x14ac:dyDescent="0.25"/>
    <row r="1632" ht="15.75" customHeight="1" x14ac:dyDescent="0.25"/>
    <row r="1633" ht="15.75" customHeight="1" x14ac:dyDescent="0.25"/>
    <row r="1634" ht="15.75" customHeight="1" x14ac:dyDescent="0.25"/>
    <row r="1635" ht="15.75" customHeight="1" x14ac:dyDescent="0.25"/>
    <row r="1636" ht="15.75" customHeight="1" x14ac:dyDescent="0.25"/>
    <row r="1637" ht="15.75" customHeight="1" x14ac:dyDescent="0.25"/>
    <row r="1638" ht="15.75" customHeight="1" x14ac:dyDescent="0.25"/>
    <row r="1639" ht="15.75" customHeight="1" x14ac:dyDescent="0.25"/>
    <row r="1640" ht="15.75" customHeight="1" x14ac:dyDescent="0.25"/>
    <row r="1641" ht="15.75" customHeight="1" x14ac:dyDescent="0.25"/>
    <row r="1642" ht="15.75" customHeight="1" x14ac:dyDescent="0.25"/>
    <row r="1643" ht="15.75" customHeight="1" x14ac:dyDescent="0.25"/>
    <row r="1644" ht="15.75" customHeight="1" x14ac:dyDescent="0.25"/>
    <row r="1645" ht="15.75" customHeight="1" x14ac:dyDescent="0.25"/>
    <row r="1646" ht="15.75" customHeight="1" x14ac:dyDescent="0.25"/>
    <row r="1647" ht="15.75" customHeight="1" x14ac:dyDescent="0.25"/>
    <row r="1648" ht="15.75" customHeight="1" x14ac:dyDescent="0.25"/>
    <row r="1649" ht="15.75" customHeight="1" x14ac:dyDescent="0.25"/>
    <row r="1650" ht="15.75" customHeight="1" x14ac:dyDescent="0.25"/>
    <row r="1651" ht="15.75" customHeight="1" x14ac:dyDescent="0.25"/>
    <row r="1652" ht="15.75" customHeight="1" x14ac:dyDescent="0.25"/>
    <row r="1653" ht="15.75" customHeight="1" x14ac:dyDescent="0.25"/>
    <row r="1654" ht="15.75" customHeight="1" x14ac:dyDescent="0.25"/>
    <row r="1655" ht="15.75" customHeight="1" x14ac:dyDescent="0.25"/>
    <row r="1656" ht="15.75" customHeight="1" x14ac:dyDescent="0.25"/>
    <row r="1657" ht="15.75" customHeight="1" x14ac:dyDescent="0.25"/>
    <row r="1658" ht="15.75" customHeight="1" x14ac:dyDescent="0.25"/>
    <row r="1659" ht="15.75" customHeight="1" x14ac:dyDescent="0.25"/>
    <row r="1660" ht="15.75" customHeight="1" x14ac:dyDescent="0.25"/>
    <row r="1661" ht="15.75" customHeight="1" x14ac:dyDescent="0.25"/>
    <row r="1662" ht="15.75" customHeight="1" x14ac:dyDescent="0.25"/>
    <row r="1663" ht="15.75" customHeight="1" x14ac:dyDescent="0.25"/>
    <row r="1664" ht="15.75" customHeight="1" x14ac:dyDescent="0.25"/>
    <row r="1665" ht="15.75" customHeight="1" x14ac:dyDescent="0.25"/>
    <row r="1666" ht="15.75" customHeight="1" x14ac:dyDescent="0.25"/>
    <row r="1667" ht="15.75" customHeight="1" x14ac:dyDescent="0.25"/>
    <row r="1668" ht="15.75" customHeight="1" x14ac:dyDescent="0.25"/>
    <row r="1669" ht="15.75" customHeight="1" x14ac:dyDescent="0.25"/>
    <row r="1670" ht="15.75" customHeight="1" x14ac:dyDescent="0.25"/>
    <row r="1671" ht="15.75" customHeight="1" x14ac:dyDescent="0.25"/>
    <row r="1672" ht="15.75" customHeight="1" x14ac:dyDescent="0.25"/>
    <row r="1673" ht="15.75" customHeight="1" x14ac:dyDescent="0.25"/>
    <row r="1674" ht="15.75" customHeight="1" x14ac:dyDescent="0.25"/>
    <row r="1675" ht="15.75" customHeight="1" x14ac:dyDescent="0.25"/>
    <row r="1676" ht="15.75" customHeight="1" x14ac:dyDescent="0.25"/>
    <row r="1677" ht="15.75" customHeight="1" x14ac:dyDescent="0.25"/>
    <row r="1678" ht="15.75" customHeight="1" x14ac:dyDescent="0.25"/>
    <row r="1679" ht="15.75" customHeight="1" x14ac:dyDescent="0.25"/>
    <row r="1680" ht="15.75" customHeight="1" x14ac:dyDescent="0.25"/>
    <row r="1681" ht="15.75" customHeight="1" x14ac:dyDescent="0.25"/>
    <row r="1682" ht="15.75" customHeight="1" x14ac:dyDescent="0.25"/>
    <row r="1683" ht="15.75" customHeight="1" x14ac:dyDescent="0.25"/>
    <row r="1684" ht="15.75" customHeight="1" x14ac:dyDescent="0.25"/>
    <row r="1685" ht="15.75" customHeight="1" x14ac:dyDescent="0.25"/>
    <row r="1686" ht="15.75" customHeight="1" x14ac:dyDescent="0.25"/>
    <row r="1687" ht="15.75" customHeight="1" x14ac:dyDescent="0.25"/>
    <row r="1688" ht="15.75" customHeight="1" x14ac:dyDescent="0.25"/>
    <row r="1689" ht="15.75" customHeight="1" x14ac:dyDescent="0.25"/>
    <row r="1690" ht="15.75" customHeight="1" x14ac:dyDescent="0.25"/>
    <row r="1691" ht="15.75" customHeight="1" x14ac:dyDescent="0.25"/>
    <row r="1692" ht="15.75" customHeight="1" x14ac:dyDescent="0.25"/>
    <row r="1693" ht="15.75" customHeight="1" x14ac:dyDescent="0.25"/>
    <row r="1694" ht="15.75" customHeight="1" x14ac:dyDescent="0.25"/>
    <row r="1695" ht="15.75" customHeight="1" x14ac:dyDescent="0.25"/>
    <row r="1696" ht="15.75" customHeight="1" x14ac:dyDescent="0.25"/>
    <row r="1697" ht="15.75" customHeight="1" x14ac:dyDescent="0.25"/>
    <row r="1698" ht="15.75" customHeight="1" x14ac:dyDescent="0.25"/>
    <row r="1699" ht="15.75" customHeight="1" x14ac:dyDescent="0.25"/>
    <row r="1700" ht="15.75" customHeight="1" x14ac:dyDescent="0.25"/>
    <row r="1701" ht="15.75" customHeight="1" x14ac:dyDescent="0.25"/>
    <row r="1702" ht="15.75" customHeight="1" x14ac:dyDescent="0.25"/>
    <row r="1703" ht="15.75" customHeight="1" x14ac:dyDescent="0.25"/>
    <row r="1704" ht="15.75" customHeight="1" x14ac:dyDescent="0.25"/>
    <row r="1705" ht="15.75" customHeight="1" x14ac:dyDescent="0.25"/>
    <row r="1706" ht="15.75" customHeight="1" x14ac:dyDescent="0.25"/>
    <row r="1707" ht="15.75" customHeight="1" x14ac:dyDescent="0.25"/>
    <row r="1708" ht="15.75" customHeight="1" x14ac:dyDescent="0.25"/>
    <row r="1709" ht="15.75" customHeight="1" x14ac:dyDescent="0.25"/>
    <row r="1710" ht="15.75" customHeight="1" x14ac:dyDescent="0.25"/>
    <row r="1711" ht="15.75" customHeight="1" x14ac:dyDescent="0.25"/>
    <row r="1712" ht="15.75" customHeight="1" x14ac:dyDescent="0.25"/>
    <row r="1713" ht="15.75" customHeight="1" x14ac:dyDescent="0.25"/>
    <row r="1714" ht="15.75" customHeight="1" x14ac:dyDescent="0.25"/>
    <row r="1715" ht="15.75" customHeight="1" x14ac:dyDescent="0.25"/>
    <row r="1716" ht="15.75" customHeight="1" x14ac:dyDescent="0.25"/>
    <row r="1717" ht="15.75" customHeight="1" x14ac:dyDescent="0.25"/>
    <row r="1718" ht="15.75" customHeight="1" x14ac:dyDescent="0.25"/>
    <row r="1719" ht="15.75" customHeight="1" x14ac:dyDescent="0.25"/>
    <row r="1720" ht="15.75" customHeight="1" x14ac:dyDescent="0.25"/>
    <row r="1721" ht="15.75" customHeight="1" x14ac:dyDescent="0.25"/>
    <row r="1722" ht="15.75" customHeight="1" x14ac:dyDescent="0.25"/>
    <row r="1723" ht="15.75" customHeight="1" x14ac:dyDescent="0.25"/>
    <row r="1724" ht="15.75" customHeight="1" x14ac:dyDescent="0.25"/>
    <row r="1725" ht="15.75" customHeight="1" x14ac:dyDescent="0.25"/>
    <row r="1726" ht="15.75" customHeight="1" x14ac:dyDescent="0.25"/>
    <row r="1727" ht="15.75" customHeight="1" x14ac:dyDescent="0.25"/>
    <row r="1728" ht="15.75" customHeight="1" x14ac:dyDescent="0.25"/>
    <row r="1729" ht="15.75" customHeight="1" x14ac:dyDescent="0.25"/>
    <row r="1730" ht="15.75" customHeight="1" x14ac:dyDescent="0.25"/>
    <row r="1731" ht="15.75" customHeight="1" x14ac:dyDescent="0.25"/>
    <row r="1732" ht="15.75" customHeight="1" x14ac:dyDescent="0.25"/>
    <row r="1733" ht="15.75" customHeight="1" x14ac:dyDescent="0.25"/>
    <row r="1734" ht="15.75" customHeight="1" x14ac:dyDescent="0.25"/>
    <row r="1735" ht="15.75" customHeight="1" x14ac:dyDescent="0.25"/>
    <row r="1736" ht="15.75" customHeight="1" x14ac:dyDescent="0.25"/>
    <row r="1737" ht="15.75" customHeight="1" x14ac:dyDescent="0.25"/>
    <row r="1738" ht="15.75" customHeight="1" x14ac:dyDescent="0.25"/>
    <row r="1739" ht="15.75" customHeight="1" x14ac:dyDescent="0.25"/>
    <row r="1740" ht="15.75" customHeight="1" x14ac:dyDescent="0.25"/>
    <row r="1741" ht="15.75" customHeight="1" x14ac:dyDescent="0.25"/>
    <row r="1742" ht="15.75" customHeight="1" x14ac:dyDescent="0.25"/>
    <row r="1743" ht="15.75" customHeight="1" x14ac:dyDescent="0.25"/>
    <row r="1744" ht="15.75" customHeight="1" x14ac:dyDescent="0.25"/>
    <row r="1745" ht="15.75" customHeight="1" x14ac:dyDescent="0.25"/>
    <row r="1746" ht="15.75" customHeight="1" x14ac:dyDescent="0.25"/>
    <row r="1747" ht="15.75" customHeight="1" x14ac:dyDescent="0.25"/>
    <row r="1748" ht="15.75" customHeight="1" x14ac:dyDescent="0.25"/>
    <row r="1749" ht="15.75" customHeight="1" x14ac:dyDescent="0.25"/>
    <row r="1750" ht="15.75" customHeight="1" x14ac:dyDescent="0.25"/>
    <row r="1751" ht="15.75" customHeight="1" x14ac:dyDescent="0.25"/>
    <row r="1752" ht="15.75" customHeight="1" x14ac:dyDescent="0.25"/>
    <row r="1753" ht="15.75" customHeight="1" x14ac:dyDescent="0.25"/>
    <row r="1754" ht="15.75" customHeight="1" x14ac:dyDescent="0.25"/>
    <row r="1755" ht="15.75" customHeight="1" x14ac:dyDescent="0.25"/>
    <row r="1756" ht="15.75" customHeight="1" x14ac:dyDescent="0.25"/>
    <row r="1757" ht="15.75" customHeight="1" x14ac:dyDescent="0.25"/>
    <row r="1758" ht="15.75" customHeight="1" x14ac:dyDescent="0.25"/>
    <row r="1759" ht="15.75" customHeight="1" x14ac:dyDescent="0.25"/>
    <row r="1760" ht="15.75" customHeight="1" x14ac:dyDescent="0.25"/>
    <row r="1761" ht="15.75" customHeight="1" x14ac:dyDescent="0.25"/>
    <row r="1762" ht="15.75" customHeight="1" x14ac:dyDescent="0.25"/>
    <row r="1763" ht="15.75" customHeight="1" x14ac:dyDescent="0.25"/>
    <row r="1764" ht="15.75" customHeight="1" x14ac:dyDescent="0.25"/>
    <row r="1765" ht="15.75" customHeight="1" x14ac:dyDescent="0.25"/>
    <row r="1766" ht="15.75" customHeight="1" x14ac:dyDescent="0.25"/>
    <row r="1767" ht="15.75" customHeight="1" x14ac:dyDescent="0.25"/>
    <row r="1768" ht="15.75" customHeight="1" x14ac:dyDescent="0.25"/>
    <row r="1769" ht="15.75" customHeight="1" x14ac:dyDescent="0.25"/>
    <row r="1770" ht="15.75" customHeight="1" x14ac:dyDescent="0.25"/>
    <row r="1771" ht="15.75" customHeight="1" x14ac:dyDescent="0.25"/>
    <row r="1772" ht="15.75" customHeight="1" x14ac:dyDescent="0.25"/>
    <row r="1773" ht="15.75" customHeight="1" x14ac:dyDescent="0.25"/>
    <row r="1774" ht="15.75" customHeight="1" x14ac:dyDescent="0.25"/>
    <row r="1775" ht="15.75" customHeight="1" x14ac:dyDescent="0.25"/>
    <row r="1776" ht="15.75" customHeight="1" x14ac:dyDescent="0.25"/>
    <row r="1777" ht="15.75" customHeight="1" x14ac:dyDescent="0.25"/>
    <row r="1778" ht="15.75" customHeight="1" x14ac:dyDescent="0.25"/>
    <row r="1779" ht="15.75" customHeight="1" x14ac:dyDescent="0.25"/>
    <row r="1780" ht="15.75" customHeight="1" x14ac:dyDescent="0.25"/>
    <row r="1781" ht="15.75" customHeight="1" x14ac:dyDescent="0.25"/>
    <row r="1782" ht="15.75" customHeight="1" x14ac:dyDescent="0.25"/>
    <row r="1783" ht="15.75" customHeight="1" x14ac:dyDescent="0.25"/>
    <row r="1784" ht="15.75" customHeight="1" x14ac:dyDescent="0.25"/>
    <row r="1785" ht="15.75" customHeight="1" x14ac:dyDescent="0.25"/>
    <row r="1786" ht="15.75" customHeight="1" x14ac:dyDescent="0.25"/>
    <row r="1787" ht="15.75" customHeight="1" x14ac:dyDescent="0.25"/>
    <row r="1788" ht="15.75" customHeight="1" x14ac:dyDescent="0.25"/>
    <row r="1789" ht="15.75" customHeight="1" x14ac:dyDescent="0.25"/>
    <row r="1790" ht="15.75" customHeight="1" x14ac:dyDescent="0.25"/>
    <row r="1791" ht="15.75" customHeight="1" x14ac:dyDescent="0.25"/>
    <row r="1792" ht="15.75" customHeight="1" x14ac:dyDescent="0.25"/>
    <row r="1793" ht="15.75" customHeight="1" x14ac:dyDescent="0.25"/>
    <row r="1794" ht="15.75" customHeight="1" x14ac:dyDescent="0.25"/>
    <row r="1795" ht="15.75" customHeight="1" x14ac:dyDescent="0.25"/>
    <row r="1796" ht="15.75" customHeight="1" x14ac:dyDescent="0.25"/>
    <row r="1797" ht="15.75" customHeight="1" x14ac:dyDescent="0.25"/>
    <row r="1798" ht="15.75" customHeight="1" x14ac:dyDescent="0.25"/>
    <row r="1799" ht="15.75" customHeight="1" x14ac:dyDescent="0.25"/>
    <row r="1800" ht="15.75" customHeight="1" x14ac:dyDescent="0.25"/>
    <row r="1801" ht="15.75" customHeight="1" x14ac:dyDescent="0.25"/>
    <row r="1802" ht="15.75" customHeight="1" x14ac:dyDescent="0.25"/>
    <row r="1803" ht="15.75" customHeight="1" x14ac:dyDescent="0.25"/>
    <row r="1804" ht="15.75" customHeight="1" x14ac:dyDescent="0.25"/>
    <row r="1805" ht="15.75" customHeight="1" x14ac:dyDescent="0.25"/>
    <row r="1806" ht="15.75" customHeight="1" x14ac:dyDescent="0.25"/>
    <row r="1807" ht="15.75" customHeight="1" x14ac:dyDescent="0.25"/>
    <row r="1808" ht="15.75" customHeight="1" x14ac:dyDescent="0.25"/>
    <row r="1809" ht="15.75" customHeight="1" x14ac:dyDescent="0.25"/>
    <row r="1810" ht="15.75" customHeight="1" x14ac:dyDescent="0.25"/>
    <row r="1811" ht="15.75" customHeight="1" x14ac:dyDescent="0.25"/>
    <row r="1812" ht="15.75" customHeight="1" x14ac:dyDescent="0.25"/>
    <row r="1813" ht="15.75" customHeight="1" x14ac:dyDescent="0.25"/>
    <row r="1814" ht="15.75" customHeight="1" x14ac:dyDescent="0.25"/>
    <row r="1815" ht="15.75" customHeight="1" x14ac:dyDescent="0.25"/>
    <row r="1816" ht="15.75" customHeight="1" x14ac:dyDescent="0.25"/>
    <row r="1817" ht="15.75" customHeight="1" x14ac:dyDescent="0.25"/>
    <row r="1818" ht="15.75" customHeight="1" x14ac:dyDescent="0.25"/>
    <row r="1819" ht="15.75" customHeight="1" x14ac:dyDescent="0.25"/>
    <row r="1820" ht="15.75" customHeight="1" x14ac:dyDescent="0.25"/>
    <row r="1821" ht="15.75" customHeight="1" x14ac:dyDescent="0.25"/>
    <row r="1822" ht="15.75" customHeight="1" x14ac:dyDescent="0.25"/>
    <row r="1823" ht="15.75" customHeight="1" x14ac:dyDescent="0.25"/>
    <row r="1824" ht="15.75" customHeight="1" x14ac:dyDescent="0.25"/>
    <row r="1825" ht="15.75" customHeight="1" x14ac:dyDescent="0.25"/>
    <row r="1826" ht="15.75" customHeight="1" x14ac:dyDescent="0.25"/>
    <row r="1827" ht="15.75" customHeight="1" x14ac:dyDescent="0.25"/>
    <row r="1828" ht="15.75" customHeight="1" x14ac:dyDescent="0.25"/>
    <row r="1829" ht="15.75" customHeight="1" x14ac:dyDescent="0.25"/>
    <row r="1830" ht="15.75" customHeight="1" x14ac:dyDescent="0.25"/>
    <row r="1831" ht="15.75" customHeight="1" x14ac:dyDescent="0.25"/>
    <row r="1832" ht="15.75" customHeight="1" x14ac:dyDescent="0.25"/>
    <row r="1833" ht="15.75" customHeight="1" x14ac:dyDescent="0.25"/>
    <row r="1834" ht="15.75" customHeight="1" x14ac:dyDescent="0.25"/>
    <row r="1835" ht="15.75" customHeight="1" x14ac:dyDescent="0.25"/>
    <row r="1836" ht="15.75" customHeight="1" x14ac:dyDescent="0.25"/>
    <row r="1837" ht="15.75" customHeight="1" x14ac:dyDescent="0.25"/>
    <row r="1838" ht="15.75" customHeight="1" x14ac:dyDescent="0.25"/>
    <row r="1839" ht="15.75" customHeight="1" x14ac:dyDescent="0.25"/>
    <row r="1840" ht="15.75" customHeight="1" x14ac:dyDescent="0.25"/>
    <row r="1841" ht="15.75" customHeight="1" x14ac:dyDescent="0.25"/>
    <row r="1842" ht="15.75" customHeight="1" x14ac:dyDescent="0.25"/>
    <row r="1843" ht="15.75" customHeight="1" x14ac:dyDescent="0.25"/>
    <row r="1844" ht="15.75" customHeight="1" x14ac:dyDescent="0.25"/>
    <row r="1845" ht="15.75" customHeight="1" x14ac:dyDescent="0.25"/>
    <row r="1846" ht="15.75" customHeight="1" x14ac:dyDescent="0.25"/>
    <row r="1847" ht="15.75" customHeight="1" x14ac:dyDescent="0.25"/>
    <row r="1848" ht="15.75" customHeight="1" x14ac:dyDescent="0.25"/>
    <row r="1849" ht="15.75" customHeight="1" x14ac:dyDescent="0.25"/>
    <row r="1850" ht="15.75" customHeight="1" x14ac:dyDescent="0.25"/>
    <row r="1851" ht="15.75" customHeight="1" x14ac:dyDescent="0.25"/>
    <row r="1852" ht="15.75" customHeight="1" x14ac:dyDescent="0.25"/>
    <row r="1853" ht="15.75" customHeight="1" x14ac:dyDescent="0.25"/>
    <row r="1854" ht="15.75" customHeight="1" x14ac:dyDescent="0.25"/>
    <row r="1855" ht="15.75" customHeight="1" x14ac:dyDescent="0.25"/>
    <row r="1856" ht="15.75" customHeight="1" x14ac:dyDescent="0.25"/>
    <row r="1857" ht="15.75" customHeight="1" x14ac:dyDescent="0.25"/>
    <row r="1858" ht="15.75" customHeight="1" x14ac:dyDescent="0.25"/>
    <row r="1859" ht="15.75" customHeight="1" x14ac:dyDescent="0.25"/>
    <row r="1860" ht="15.75" customHeight="1" x14ac:dyDescent="0.25"/>
    <row r="1861" ht="15.75" customHeight="1" x14ac:dyDescent="0.25"/>
    <row r="1862" ht="15.75" customHeight="1" x14ac:dyDescent="0.25"/>
    <row r="1863" ht="15.75" customHeight="1" x14ac:dyDescent="0.25"/>
    <row r="1864" ht="15.75" customHeight="1" x14ac:dyDescent="0.25"/>
    <row r="1865" ht="15.75" customHeight="1" x14ac:dyDescent="0.25"/>
    <row r="1866" ht="15.75" customHeight="1" x14ac:dyDescent="0.25"/>
    <row r="1867" ht="15.75" customHeight="1" x14ac:dyDescent="0.25"/>
    <row r="1868" ht="15.75" customHeight="1" x14ac:dyDescent="0.25"/>
    <row r="1869" ht="15.75" customHeight="1" x14ac:dyDescent="0.25"/>
    <row r="1870" ht="15.75" customHeight="1" x14ac:dyDescent="0.25"/>
    <row r="1871" ht="15.75" customHeight="1" x14ac:dyDescent="0.25"/>
    <row r="1872" ht="15.75" customHeight="1" x14ac:dyDescent="0.25"/>
    <row r="1873" ht="15.75" customHeight="1" x14ac:dyDescent="0.25"/>
    <row r="1874" ht="15.75" customHeight="1" x14ac:dyDescent="0.25"/>
    <row r="1875" ht="15.75" customHeight="1" x14ac:dyDescent="0.25"/>
    <row r="1876" ht="15.75" customHeight="1" x14ac:dyDescent="0.25"/>
    <row r="1877" ht="15.75" customHeight="1" x14ac:dyDescent="0.25"/>
    <row r="1878" ht="15.75" customHeight="1" x14ac:dyDescent="0.25"/>
    <row r="1879" ht="15.75" customHeight="1" x14ac:dyDescent="0.25"/>
    <row r="1880" ht="15.75" customHeight="1" x14ac:dyDescent="0.25"/>
    <row r="1881" ht="15.75" customHeight="1" x14ac:dyDescent="0.25"/>
    <row r="1882" ht="15.75" customHeight="1" x14ac:dyDescent="0.25"/>
    <row r="1883" ht="15.75" customHeight="1" x14ac:dyDescent="0.25"/>
    <row r="1884" ht="15.75" customHeight="1" x14ac:dyDescent="0.25"/>
    <row r="1885" ht="15.75" customHeight="1" x14ac:dyDescent="0.25"/>
    <row r="1886" ht="15.75" customHeight="1" x14ac:dyDescent="0.25"/>
    <row r="1887" ht="15.75" customHeight="1" x14ac:dyDescent="0.25"/>
    <row r="1888" ht="15.75" customHeight="1" x14ac:dyDescent="0.25"/>
    <row r="1889" ht="15.75" customHeight="1" x14ac:dyDescent="0.25"/>
    <row r="1890" ht="15.75" customHeight="1" x14ac:dyDescent="0.25"/>
    <row r="1891" ht="15.75" customHeight="1" x14ac:dyDescent="0.25"/>
    <row r="1892" ht="15.75" customHeight="1" x14ac:dyDescent="0.25"/>
    <row r="1893" ht="15.75" customHeight="1" x14ac:dyDescent="0.25"/>
    <row r="1894" ht="15.75" customHeight="1" x14ac:dyDescent="0.25"/>
    <row r="1895" ht="15.75" customHeight="1" x14ac:dyDescent="0.25"/>
    <row r="1896" ht="15.75" customHeight="1" x14ac:dyDescent="0.25"/>
    <row r="1897" ht="15.75" customHeight="1" x14ac:dyDescent="0.25"/>
    <row r="1898" ht="15.75" customHeight="1" x14ac:dyDescent="0.25"/>
    <row r="1899" ht="15.75" customHeight="1" x14ac:dyDescent="0.25"/>
    <row r="1900" ht="15.75" customHeight="1" x14ac:dyDescent="0.25"/>
    <row r="1901" ht="15.75" customHeight="1" x14ac:dyDescent="0.25"/>
    <row r="1902" ht="15.75" customHeight="1" x14ac:dyDescent="0.25"/>
    <row r="1903" ht="15.75" customHeight="1" x14ac:dyDescent="0.25"/>
    <row r="1904" ht="15.75" customHeight="1" x14ac:dyDescent="0.25"/>
    <row r="1905" ht="15.75" customHeight="1" x14ac:dyDescent="0.25"/>
    <row r="1906" ht="15.75" customHeight="1" x14ac:dyDescent="0.25"/>
    <row r="1907" ht="15.75" customHeight="1" x14ac:dyDescent="0.25"/>
    <row r="1908" ht="15.75" customHeight="1" x14ac:dyDescent="0.25"/>
    <row r="1909" ht="15.75" customHeight="1" x14ac:dyDescent="0.25"/>
    <row r="1910" ht="15.75" customHeight="1" x14ac:dyDescent="0.25"/>
    <row r="1911" ht="15.75" customHeight="1" x14ac:dyDescent="0.25"/>
    <row r="1912" ht="15.75" customHeight="1" x14ac:dyDescent="0.25"/>
    <row r="1913" ht="15.75" customHeight="1" x14ac:dyDescent="0.25"/>
    <row r="1914" ht="15.75" customHeight="1" x14ac:dyDescent="0.25"/>
    <row r="1915" ht="15.75" customHeight="1" x14ac:dyDescent="0.25"/>
    <row r="1916" ht="15.75" customHeight="1" x14ac:dyDescent="0.25"/>
    <row r="1917" ht="15.75" customHeight="1" x14ac:dyDescent="0.25"/>
    <row r="1918" ht="15.75" customHeight="1" x14ac:dyDescent="0.25"/>
    <row r="1919" ht="15.75" customHeight="1" x14ac:dyDescent="0.25"/>
    <row r="1920" ht="15.75" customHeight="1" x14ac:dyDescent="0.25"/>
    <row r="1921" ht="15.75" customHeight="1" x14ac:dyDescent="0.25"/>
    <row r="1922" ht="15.75" customHeight="1" x14ac:dyDescent="0.25"/>
    <row r="1923" ht="15.75" customHeight="1" x14ac:dyDescent="0.25"/>
    <row r="1924" ht="15.75" customHeight="1" x14ac:dyDescent="0.25"/>
    <row r="1925" ht="15.75" customHeight="1" x14ac:dyDescent="0.25"/>
    <row r="1926" ht="15.75" customHeight="1" x14ac:dyDescent="0.25"/>
    <row r="1927" ht="15.75" customHeight="1" x14ac:dyDescent="0.25"/>
    <row r="1928" ht="15.75" customHeight="1" x14ac:dyDescent="0.25"/>
    <row r="1929" ht="15.75" customHeight="1" x14ac:dyDescent="0.25"/>
    <row r="1930" ht="15.75" customHeight="1" x14ac:dyDescent="0.25"/>
    <row r="1931" ht="15.75" customHeight="1" x14ac:dyDescent="0.25"/>
    <row r="1932" ht="15.75" customHeight="1" x14ac:dyDescent="0.25"/>
    <row r="1933" ht="15.75" customHeight="1" x14ac:dyDescent="0.25"/>
    <row r="1934" ht="15.75" customHeight="1" x14ac:dyDescent="0.25"/>
    <row r="1935" ht="15.75" customHeight="1" x14ac:dyDescent="0.25"/>
    <row r="1936" ht="15.75" customHeight="1" x14ac:dyDescent="0.25"/>
    <row r="1937" ht="15.75" customHeight="1" x14ac:dyDescent="0.25"/>
    <row r="1938" ht="15.75" customHeight="1" x14ac:dyDescent="0.25"/>
    <row r="1939" ht="15.75" customHeight="1" x14ac:dyDescent="0.25"/>
    <row r="1940" ht="15.75" customHeight="1" x14ac:dyDescent="0.25"/>
    <row r="1941" ht="15.75" customHeight="1" x14ac:dyDescent="0.25"/>
    <row r="1942" ht="15.75" customHeight="1" x14ac:dyDescent="0.25"/>
    <row r="1943" ht="15.75" customHeight="1" x14ac:dyDescent="0.25"/>
    <row r="1944" ht="15.75" customHeight="1" x14ac:dyDescent="0.25"/>
    <row r="1945" ht="15.75" customHeight="1" x14ac:dyDescent="0.25"/>
    <row r="1946" ht="15.75" customHeight="1" x14ac:dyDescent="0.25"/>
    <row r="1947" ht="15.75" customHeight="1" x14ac:dyDescent="0.25"/>
    <row r="1948" ht="15.75" customHeight="1" x14ac:dyDescent="0.25"/>
    <row r="1949" ht="15.75" customHeight="1" x14ac:dyDescent="0.25"/>
    <row r="1950" ht="15.75" customHeight="1" x14ac:dyDescent="0.25"/>
    <row r="1951" ht="15.75" customHeight="1" x14ac:dyDescent="0.25"/>
    <row r="1952" ht="15.75" customHeight="1" x14ac:dyDescent="0.25"/>
    <row r="1953" ht="15.75" customHeight="1" x14ac:dyDescent="0.25"/>
    <row r="1954" ht="15.75" customHeight="1" x14ac:dyDescent="0.25"/>
    <row r="1955" ht="15.75" customHeight="1" x14ac:dyDescent="0.25"/>
    <row r="1956" ht="15.75" customHeight="1" x14ac:dyDescent="0.25"/>
    <row r="1957" ht="15.75" customHeight="1" x14ac:dyDescent="0.25"/>
    <row r="1958" ht="15.75" customHeight="1" x14ac:dyDescent="0.25"/>
    <row r="1959" ht="15.75" customHeight="1" x14ac:dyDescent="0.25"/>
    <row r="1960" ht="15.75" customHeight="1" x14ac:dyDescent="0.25"/>
    <row r="1961" ht="15.75" customHeight="1" x14ac:dyDescent="0.25"/>
    <row r="1962" ht="15.75" customHeight="1" x14ac:dyDescent="0.25"/>
    <row r="1963" ht="15.75" customHeight="1" x14ac:dyDescent="0.25"/>
    <row r="1964" ht="15.75" customHeight="1" x14ac:dyDescent="0.25"/>
    <row r="1965" ht="15.75" customHeight="1" x14ac:dyDescent="0.25"/>
    <row r="1966" ht="15.75" customHeight="1" x14ac:dyDescent="0.25"/>
    <row r="1967" ht="15.75" customHeight="1" x14ac:dyDescent="0.25"/>
    <row r="1968" ht="15.75" customHeight="1" x14ac:dyDescent="0.25"/>
    <row r="1969" ht="15.75" customHeight="1" x14ac:dyDescent="0.25"/>
    <row r="1970" ht="15.75" customHeight="1" x14ac:dyDescent="0.25"/>
    <row r="1971" ht="15.75" customHeight="1" x14ac:dyDescent="0.25"/>
    <row r="1972" ht="15.75" customHeight="1" x14ac:dyDescent="0.25"/>
    <row r="1973" ht="15.75" customHeight="1" x14ac:dyDescent="0.25"/>
    <row r="1974" ht="15.75" customHeight="1" x14ac:dyDescent="0.25"/>
    <row r="1975" ht="15.75" customHeight="1" x14ac:dyDescent="0.25"/>
    <row r="1976" ht="15.75" customHeight="1" x14ac:dyDescent="0.25"/>
    <row r="1977" ht="15.75" customHeight="1" x14ac:dyDescent="0.25"/>
    <row r="1978" ht="15.75" customHeight="1" x14ac:dyDescent="0.25"/>
    <row r="1979" ht="15.75" customHeight="1" x14ac:dyDescent="0.25"/>
    <row r="1980" ht="15.75" customHeight="1" x14ac:dyDescent="0.25"/>
    <row r="1981" ht="15.75" customHeight="1" x14ac:dyDescent="0.25"/>
    <row r="1982" ht="15.75" customHeight="1" x14ac:dyDescent="0.25"/>
    <row r="1983" ht="15.75" customHeight="1" x14ac:dyDescent="0.25"/>
    <row r="1984" ht="15.75" customHeight="1" x14ac:dyDescent="0.25"/>
    <row r="1985" ht="15.75" customHeight="1" x14ac:dyDescent="0.25"/>
    <row r="1986" ht="15.75" customHeight="1" x14ac:dyDescent="0.25"/>
    <row r="1987" ht="15.75" customHeight="1" x14ac:dyDescent="0.25"/>
    <row r="1988" ht="15.75" customHeight="1" x14ac:dyDescent="0.25"/>
    <row r="1989" ht="15.75" customHeight="1" x14ac:dyDescent="0.25"/>
    <row r="1990" ht="15.75" customHeight="1" x14ac:dyDescent="0.25"/>
    <row r="1991" ht="15.75" customHeight="1" x14ac:dyDescent="0.25"/>
    <row r="1992" ht="15.75" customHeight="1" x14ac:dyDescent="0.25"/>
    <row r="1993" ht="15.75" customHeight="1" x14ac:dyDescent="0.25"/>
    <row r="1994" ht="15.75" customHeight="1" x14ac:dyDescent="0.25"/>
    <row r="1995" ht="15.75" customHeight="1" x14ac:dyDescent="0.25"/>
    <row r="1996" ht="15.75" customHeight="1" x14ac:dyDescent="0.25"/>
    <row r="1997" ht="15.75" customHeight="1" x14ac:dyDescent="0.25"/>
    <row r="1998" ht="15.75" customHeight="1" x14ac:dyDescent="0.25"/>
    <row r="1999" ht="15.75" customHeight="1" x14ac:dyDescent="0.25"/>
    <row r="2000" ht="15.75" customHeight="1" x14ac:dyDescent="0.25"/>
    <row r="2001" ht="15.75" customHeight="1" x14ac:dyDescent="0.25"/>
    <row r="2002" ht="15.75" customHeight="1" x14ac:dyDescent="0.25"/>
    <row r="2003" ht="15.75" customHeight="1" x14ac:dyDescent="0.25"/>
    <row r="2004" ht="15.75" customHeight="1" x14ac:dyDescent="0.25"/>
    <row r="2005" ht="15.75" customHeight="1" x14ac:dyDescent="0.25"/>
    <row r="2006" ht="15.75" customHeight="1" x14ac:dyDescent="0.25"/>
    <row r="2007" ht="15.75" customHeight="1" x14ac:dyDescent="0.25"/>
    <row r="2008" ht="15.75" customHeight="1" x14ac:dyDescent="0.25"/>
    <row r="2009" ht="15.75" customHeight="1" x14ac:dyDescent="0.25"/>
    <row r="2010" ht="15.75" customHeight="1" x14ac:dyDescent="0.25"/>
    <row r="2011" ht="15.75" customHeight="1" x14ac:dyDescent="0.25"/>
    <row r="2012" ht="15.75" customHeight="1" x14ac:dyDescent="0.25"/>
    <row r="2013" ht="15.75" customHeight="1" x14ac:dyDescent="0.25"/>
    <row r="2014" ht="15.75" customHeight="1" x14ac:dyDescent="0.25"/>
    <row r="2015" ht="15.75" customHeight="1" x14ac:dyDescent="0.25"/>
    <row r="2016" ht="15.75" customHeight="1" x14ac:dyDescent="0.25"/>
    <row r="2017" ht="15.75" customHeight="1" x14ac:dyDescent="0.25"/>
    <row r="2018" ht="15.75" customHeight="1" x14ac:dyDescent="0.25"/>
    <row r="2019" ht="15.75" customHeight="1" x14ac:dyDescent="0.25"/>
    <row r="2020" ht="15.75" customHeight="1" x14ac:dyDescent="0.25"/>
    <row r="2021" ht="15.75" customHeight="1" x14ac:dyDescent="0.25"/>
    <row r="2022" ht="15.75" customHeight="1" x14ac:dyDescent="0.25"/>
    <row r="2023" ht="15.75" customHeight="1" x14ac:dyDescent="0.25"/>
    <row r="2024" ht="15.75" customHeight="1" x14ac:dyDescent="0.25"/>
    <row r="2025" ht="15.75" customHeight="1" x14ac:dyDescent="0.25"/>
    <row r="2026" ht="15.75" customHeight="1" x14ac:dyDescent="0.25"/>
    <row r="2027" ht="15.75" customHeight="1" x14ac:dyDescent="0.25"/>
    <row r="2028" ht="15.75" customHeight="1" x14ac:dyDescent="0.25"/>
    <row r="2029" ht="15.75" customHeight="1" x14ac:dyDescent="0.25"/>
    <row r="2030" ht="15.75" customHeight="1" x14ac:dyDescent="0.25"/>
    <row r="2031" ht="15.75" customHeight="1" x14ac:dyDescent="0.25"/>
    <row r="2032" ht="15.75" customHeight="1" x14ac:dyDescent="0.25"/>
    <row r="2033" ht="15.75" customHeight="1" x14ac:dyDescent="0.25"/>
    <row r="2034" ht="15.75" customHeight="1" x14ac:dyDescent="0.25"/>
    <row r="2035" ht="15.75" customHeight="1" x14ac:dyDescent="0.25"/>
    <row r="2036" ht="15.75" customHeight="1" x14ac:dyDescent="0.25"/>
    <row r="2037" ht="15.75" customHeight="1" x14ac:dyDescent="0.25"/>
    <row r="2038" ht="15.75" customHeight="1" x14ac:dyDescent="0.25"/>
    <row r="2039" ht="15.75" customHeight="1" x14ac:dyDescent="0.25"/>
    <row r="2040" ht="15.75" customHeight="1" x14ac:dyDescent="0.25"/>
    <row r="2041" ht="15.75" customHeight="1" x14ac:dyDescent="0.25"/>
    <row r="2042" ht="15.75" customHeight="1" x14ac:dyDescent="0.25"/>
    <row r="2043" ht="15.75" customHeight="1" x14ac:dyDescent="0.25"/>
    <row r="2044" ht="15.75" customHeight="1" x14ac:dyDescent="0.25"/>
    <row r="2045" ht="15.75" customHeight="1" x14ac:dyDescent="0.25"/>
    <row r="2046" ht="15.75" customHeight="1" x14ac:dyDescent="0.25"/>
    <row r="2047" ht="15.75" customHeight="1" x14ac:dyDescent="0.25"/>
    <row r="2048" ht="15.75" customHeight="1" x14ac:dyDescent="0.25"/>
    <row r="2049" ht="15.75" customHeight="1" x14ac:dyDescent="0.25"/>
    <row r="2050" ht="15.75" customHeight="1" x14ac:dyDescent="0.25"/>
    <row r="2051" ht="15.75" customHeight="1" x14ac:dyDescent="0.25"/>
    <row r="2052" ht="15.75" customHeight="1" x14ac:dyDescent="0.25"/>
    <row r="2053" ht="15.75" customHeight="1" x14ac:dyDescent="0.25"/>
    <row r="2054" ht="15.75" customHeight="1" x14ac:dyDescent="0.25"/>
    <row r="2055" ht="15.75" customHeight="1" x14ac:dyDescent="0.25"/>
    <row r="2056" ht="15.75" customHeight="1" x14ac:dyDescent="0.25"/>
    <row r="2057" ht="15.75" customHeight="1" x14ac:dyDescent="0.25"/>
    <row r="2058" ht="15.75" customHeight="1" x14ac:dyDescent="0.25"/>
    <row r="2059" ht="15.75" customHeight="1" x14ac:dyDescent="0.25"/>
    <row r="2060" ht="15.75" customHeight="1" x14ac:dyDescent="0.25"/>
    <row r="2061" ht="15.75" customHeight="1" x14ac:dyDescent="0.25"/>
    <row r="2062" ht="15.75" customHeight="1" x14ac:dyDescent="0.25"/>
    <row r="2063" ht="15.75" customHeight="1" x14ac:dyDescent="0.25"/>
    <row r="2064" ht="15.75" customHeight="1" x14ac:dyDescent="0.25"/>
    <row r="2065" ht="15.75" customHeight="1" x14ac:dyDescent="0.25"/>
    <row r="2066" ht="15.75" customHeight="1" x14ac:dyDescent="0.25"/>
    <row r="2067" ht="15.75" customHeight="1" x14ac:dyDescent="0.25"/>
    <row r="2068" ht="15.75" customHeight="1" x14ac:dyDescent="0.25"/>
    <row r="2069" ht="15.75" customHeight="1" x14ac:dyDescent="0.25"/>
    <row r="2070" ht="15.75" customHeight="1" x14ac:dyDescent="0.25"/>
    <row r="2071" ht="15.75" customHeight="1" x14ac:dyDescent="0.25"/>
    <row r="2072" ht="15.75" customHeight="1" x14ac:dyDescent="0.25"/>
    <row r="2073" ht="15.75" customHeight="1" x14ac:dyDescent="0.25"/>
    <row r="2074" ht="15.75" customHeight="1" x14ac:dyDescent="0.25"/>
    <row r="2075" ht="15.75" customHeight="1" x14ac:dyDescent="0.25"/>
    <row r="2076" ht="15.75" customHeight="1" x14ac:dyDescent="0.25"/>
    <row r="2077" ht="15.75" customHeight="1" x14ac:dyDescent="0.25"/>
    <row r="2078" ht="15.75" customHeight="1" x14ac:dyDescent="0.25"/>
    <row r="2079" ht="15.75" customHeight="1" x14ac:dyDescent="0.25"/>
    <row r="2080" ht="15.75" customHeight="1" x14ac:dyDescent="0.25"/>
    <row r="2081" ht="15.75" customHeight="1" x14ac:dyDescent="0.25"/>
    <row r="2082" ht="15.75" customHeight="1" x14ac:dyDescent="0.25"/>
    <row r="2083" ht="15.75" customHeight="1" x14ac:dyDescent="0.25"/>
    <row r="2084" ht="15.75" customHeight="1" x14ac:dyDescent="0.25"/>
    <row r="2085" ht="15.75" customHeight="1" x14ac:dyDescent="0.25"/>
    <row r="2086" ht="15.75" customHeight="1" x14ac:dyDescent="0.25"/>
    <row r="2087" ht="15.75" customHeight="1" x14ac:dyDescent="0.25"/>
    <row r="2088" ht="15.75" customHeight="1" x14ac:dyDescent="0.25"/>
    <row r="2089" ht="15.75" customHeight="1" x14ac:dyDescent="0.25"/>
    <row r="2090" ht="15.75" customHeight="1" x14ac:dyDescent="0.25"/>
    <row r="2091" ht="15.75" customHeight="1" x14ac:dyDescent="0.25"/>
    <row r="2092" ht="15.75" customHeight="1" x14ac:dyDescent="0.25"/>
    <row r="2093" ht="15.75" customHeight="1" x14ac:dyDescent="0.25"/>
    <row r="2094" ht="15.75" customHeight="1" x14ac:dyDescent="0.25"/>
    <row r="2095" ht="15.75" customHeight="1" x14ac:dyDescent="0.25"/>
    <row r="2096" ht="15.75" customHeight="1" x14ac:dyDescent="0.25"/>
    <row r="2097" ht="15.75" customHeight="1" x14ac:dyDescent="0.25"/>
    <row r="2098" ht="15.75" customHeight="1" x14ac:dyDescent="0.25"/>
    <row r="2099" ht="15.75" customHeight="1" x14ac:dyDescent="0.25"/>
    <row r="2100" ht="15.75" customHeight="1" x14ac:dyDescent="0.25"/>
    <row r="2101" ht="15.75" customHeight="1" x14ac:dyDescent="0.25"/>
    <row r="2102" ht="15.75" customHeight="1" x14ac:dyDescent="0.25"/>
    <row r="2103" ht="15.75" customHeight="1" x14ac:dyDescent="0.25"/>
    <row r="2104" ht="15.75" customHeight="1" x14ac:dyDescent="0.25"/>
    <row r="2105" ht="15.75" customHeight="1" x14ac:dyDescent="0.25"/>
    <row r="2106" ht="15.75" customHeight="1" x14ac:dyDescent="0.25"/>
    <row r="2107" ht="15.75" customHeight="1" x14ac:dyDescent="0.25"/>
    <row r="2108" ht="15.75" customHeight="1" x14ac:dyDescent="0.25"/>
    <row r="2109" ht="15.75" customHeight="1" x14ac:dyDescent="0.25"/>
    <row r="2110" ht="15.75" customHeight="1" x14ac:dyDescent="0.25"/>
    <row r="2111" ht="15.75" customHeight="1" x14ac:dyDescent="0.25"/>
    <row r="2112" ht="15.75" customHeight="1" x14ac:dyDescent="0.25"/>
    <row r="2113" ht="15.75" customHeight="1" x14ac:dyDescent="0.25"/>
    <row r="2114" ht="15.75" customHeight="1" x14ac:dyDescent="0.25"/>
    <row r="2115" ht="15.75" customHeight="1" x14ac:dyDescent="0.25"/>
    <row r="2116" ht="15.75" customHeight="1" x14ac:dyDescent="0.25"/>
    <row r="2117" ht="15.75" customHeight="1" x14ac:dyDescent="0.25"/>
    <row r="2118" ht="15.75" customHeight="1" x14ac:dyDescent="0.25"/>
    <row r="2119" ht="15.75" customHeight="1" x14ac:dyDescent="0.25"/>
    <row r="2120" ht="15.75" customHeight="1" x14ac:dyDescent="0.25"/>
    <row r="2121" ht="15.75" customHeight="1" x14ac:dyDescent="0.25"/>
    <row r="2122" ht="15.75" customHeight="1" x14ac:dyDescent="0.25"/>
    <row r="2123" ht="15.75" customHeight="1" x14ac:dyDescent="0.25"/>
    <row r="2124" ht="15.75" customHeight="1" x14ac:dyDescent="0.25"/>
    <row r="2125" ht="15.75" customHeight="1" x14ac:dyDescent="0.25"/>
    <row r="2126" ht="15.75" customHeight="1" x14ac:dyDescent="0.25"/>
    <row r="2127" ht="15.75" customHeight="1" x14ac:dyDescent="0.25"/>
    <row r="2128" ht="15.75" customHeight="1" x14ac:dyDescent="0.25"/>
    <row r="2129" ht="15.75" customHeight="1" x14ac:dyDescent="0.25"/>
    <row r="2130" ht="15.75" customHeight="1" x14ac:dyDescent="0.25"/>
    <row r="2131" ht="15.75" customHeight="1" x14ac:dyDescent="0.25"/>
    <row r="2132" ht="15.75" customHeight="1" x14ac:dyDescent="0.25"/>
    <row r="2133" ht="15.75" customHeight="1" x14ac:dyDescent="0.25"/>
    <row r="2134" ht="15.75" customHeight="1" x14ac:dyDescent="0.25"/>
    <row r="2135" ht="15.75" customHeight="1" x14ac:dyDescent="0.25"/>
    <row r="2136" ht="15.75" customHeight="1" x14ac:dyDescent="0.25"/>
    <row r="2137" ht="15.75" customHeight="1" x14ac:dyDescent="0.25"/>
    <row r="2138" ht="15.75" customHeight="1" x14ac:dyDescent="0.25"/>
    <row r="2139" ht="15.75" customHeight="1" x14ac:dyDescent="0.25"/>
    <row r="2140" ht="15.75" customHeight="1" x14ac:dyDescent="0.25"/>
    <row r="2141" ht="15.75" customHeight="1" x14ac:dyDescent="0.25"/>
    <row r="2142" ht="15.75" customHeight="1" x14ac:dyDescent="0.25"/>
    <row r="2143" ht="15.75" customHeight="1" x14ac:dyDescent="0.25"/>
    <row r="2144" ht="15.75" customHeight="1" x14ac:dyDescent="0.25"/>
    <row r="2145" ht="15.75" customHeight="1" x14ac:dyDescent="0.25"/>
    <row r="2146" ht="15.75" customHeight="1" x14ac:dyDescent="0.25"/>
    <row r="2147" ht="15.75" customHeight="1" x14ac:dyDescent="0.25"/>
    <row r="2148" ht="15.75" customHeight="1" x14ac:dyDescent="0.25"/>
    <row r="2149" ht="15.75" customHeight="1" x14ac:dyDescent="0.25"/>
    <row r="2150" ht="15.75" customHeight="1" x14ac:dyDescent="0.25"/>
    <row r="2151" ht="15.75" customHeight="1" x14ac:dyDescent="0.25"/>
    <row r="2152" ht="15.75" customHeight="1" x14ac:dyDescent="0.25"/>
    <row r="2153" ht="15.75" customHeight="1" x14ac:dyDescent="0.25"/>
    <row r="2154" ht="15.75" customHeight="1" x14ac:dyDescent="0.25"/>
    <row r="2155" ht="15.75" customHeight="1" x14ac:dyDescent="0.25"/>
    <row r="2156" ht="15.75" customHeight="1" x14ac:dyDescent="0.25"/>
    <row r="2157" ht="15.75" customHeight="1" x14ac:dyDescent="0.25"/>
    <row r="2158" ht="15.75" customHeight="1" x14ac:dyDescent="0.25"/>
    <row r="2159" ht="15.75" customHeight="1" x14ac:dyDescent="0.25"/>
    <row r="2160" ht="15.75" customHeight="1" x14ac:dyDescent="0.25"/>
    <row r="2161" ht="15.75" customHeight="1" x14ac:dyDescent="0.25"/>
    <row r="2162" ht="15.75" customHeight="1" x14ac:dyDescent="0.25"/>
    <row r="2163" ht="15.75" customHeight="1" x14ac:dyDescent="0.25"/>
    <row r="2164" ht="15.75" customHeight="1" x14ac:dyDescent="0.25"/>
    <row r="2165" ht="15.75" customHeight="1" x14ac:dyDescent="0.25"/>
    <row r="2166" ht="15.75" customHeight="1" x14ac:dyDescent="0.25"/>
    <row r="2167" ht="15.75" customHeight="1" x14ac:dyDescent="0.25"/>
    <row r="2168" ht="15.75" customHeight="1" x14ac:dyDescent="0.25"/>
    <row r="2169" ht="15.75" customHeight="1" x14ac:dyDescent="0.25"/>
    <row r="2170" ht="15.75" customHeight="1" x14ac:dyDescent="0.25"/>
    <row r="2171" ht="15.75" customHeight="1" x14ac:dyDescent="0.25"/>
    <row r="2172" ht="15.75" customHeight="1" x14ac:dyDescent="0.25"/>
    <row r="2173" ht="15.75" customHeight="1" x14ac:dyDescent="0.25"/>
    <row r="2174" ht="15.75" customHeight="1" x14ac:dyDescent="0.25"/>
    <row r="2175" ht="15.75" customHeight="1" x14ac:dyDescent="0.25"/>
    <row r="2176" ht="15.75" customHeight="1" x14ac:dyDescent="0.25"/>
    <row r="2177" ht="15.75" customHeight="1" x14ac:dyDescent="0.25"/>
    <row r="2178" ht="15.75" customHeight="1" x14ac:dyDescent="0.25"/>
    <row r="2179" ht="15.75" customHeight="1" x14ac:dyDescent="0.25"/>
    <row r="2180" ht="15.75" customHeight="1" x14ac:dyDescent="0.25"/>
    <row r="2181" ht="15.75" customHeight="1" x14ac:dyDescent="0.25"/>
    <row r="2182" ht="15.75" customHeight="1" x14ac:dyDescent="0.25"/>
    <row r="2183" ht="15.75" customHeight="1" x14ac:dyDescent="0.25"/>
    <row r="2184" ht="15.75" customHeight="1" x14ac:dyDescent="0.25"/>
    <row r="2185" ht="15.75" customHeight="1" x14ac:dyDescent="0.25"/>
    <row r="2186" ht="15.75" customHeight="1" x14ac:dyDescent="0.25"/>
    <row r="2187" ht="15.75" customHeight="1" x14ac:dyDescent="0.25"/>
    <row r="2188" ht="15.75" customHeight="1" x14ac:dyDescent="0.25"/>
    <row r="2189" ht="15.75" customHeight="1" x14ac:dyDescent="0.25"/>
    <row r="2190" ht="15.75" customHeight="1" x14ac:dyDescent="0.25"/>
    <row r="2191" ht="15.75" customHeight="1" x14ac:dyDescent="0.25"/>
    <row r="2192" ht="15.75" customHeight="1" x14ac:dyDescent="0.25"/>
    <row r="2193" ht="15.75" customHeight="1" x14ac:dyDescent="0.25"/>
    <row r="2194" ht="15.75" customHeight="1" x14ac:dyDescent="0.25"/>
    <row r="2195" ht="15.75" customHeight="1" x14ac:dyDescent="0.25"/>
    <row r="2196" ht="15.75" customHeight="1" x14ac:dyDescent="0.25"/>
    <row r="2197" ht="15.75" customHeight="1" x14ac:dyDescent="0.25"/>
    <row r="2198" ht="15.75" customHeight="1" x14ac:dyDescent="0.25"/>
    <row r="2199" ht="15.75" customHeight="1" x14ac:dyDescent="0.25"/>
    <row r="2200" ht="15.75" customHeight="1" x14ac:dyDescent="0.25"/>
    <row r="2201" ht="15.75" customHeight="1" x14ac:dyDescent="0.25"/>
    <row r="2202" ht="15.75" customHeight="1" x14ac:dyDescent="0.25"/>
    <row r="2203" ht="15.75" customHeight="1" x14ac:dyDescent="0.25"/>
    <row r="2204" ht="15.75" customHeight="1" x14ac:dyDescent="0.25"/>
    <row r="2205" ht="15.75" customHeight="1" x14ac:dyDescent="0.25"/>
    <row r="2206" ht="15.75" customHeight="1" x14ac:dyDescent="0.25"/>
    <row r="2207" ht="15.75" customHeight="1" x14ac:dyDescent="0.25"/>
    <row r="2208" ht="15.75" customHeight="1" x14ac:dyDescent="0.25"/>
    <row r="2209" ht="15.75" customHeight="1" x14ac:dyDescent="0.25"/>
    <row r="2210" ht="15.75" customHeight="1" x14ac:dyDescent="0.25"/>
    <row r="2211" ht="15.75" customHeight="1" x14ac:dyDescent="0.25"/>
    <row r="2212" ht="15.75" customHeight="1" x14ac:dyDescent="0.25"/>
    <row r="2213" ht="15.75" customHeight="1" x14ac:dyDescent="0.25"/>
    <row r="2214" ht="15.75" customHeight="1" x14ac:dyDescent="0.25"/>
    <row r="2215" ht="15.75" customHeight="1" x14ac:dyDescent="0.25"/>
    <row r="2216" ht="15.75" customHeight="1" x14ac:dyDescent="0.25"/>
    <row r="2217" ht="15.75" customHeight="1" x14ac:dyDescent="0.25"/>
    <row r="2218" ht="15.75" customHeight="1" x14ac:dyDescent="0.25"/>
    <row r="2219" ht="15.75" customHeight="1" x14ac:dyDescent="0.25"/>
    <row r="2220" ht="15.75" customHeight="1" x14ac:dyDescent="0.25"/>
    <row r="2221" ht="15.75" customHeight="1" x14ac:dyDescent="0.25"/>
    <row r="2222" ht="15.75" customHeight="1" x14ac:dyDescent="0.25"/>
    <row r="2223" ht="15.75" customHeight="1" x14ac:dyDescent="0.25"/>
    <row r="2224" ht="15.75" customHeight="1" x14ac:dyDescent="0.25"/>
    <row r="2225" ht="15.75" customHeight="1" x14ac:dyDescent="0.25"/>
    <row r="2226" ht="15.75" customHeight="1" x14ac:dyDescent="0.25"/>
    <row r="2227" ht="15.75" customHeight="1" x14ac:dyDescent="0.25"/>
    <row r="2228" ht="15.75" customHeight="1" x14ac:dyDescent="0.25"/>
    <row r="2229" ht="15.75" customHeight="1" x14ac:dyDescent="0.25"/>
    <row r="2230" ht="15.75" customHeight="1" x14ac:dyDescent="0.25"/>
    <row r="2231" ht="15.75" customHeight="1" x14ac:dyDescent="0.25"/>
    <row r="2232" ht="15.75" customHeight="1" x14ac:dyDescent="0.25"/>
    <row r="2233" ht="15.75" customHeight="1" x14ac:dyDescent="0.25"/>
    <row r="2234" ht="15.75" customHeight="1" x14ac:dyDescent="0.25"/>
    <row r="2235" ht="15.75" customHeight="1" x14ac:dyDescent="0.25"/>
    <row r="2236" ht="15.75" customHeight="1" x14ac:dyDescent="0.25"/>
    <row r="2237" ht="15.75" customHeight="1" x14ac:dyDescent="0.25"/>
    <row r="2238" ht="15.75" customHeight="1" x14ac:dyDescent="0.25"/>
    <row r="2239" ht="15.75" customHeight="1" x14ac:dyDescent="0.25"/>
    <row r="2240" ht="15.75" customHeight="1" x14ac:dyDescent="0.25"/>
    <row r="2241" ht="15.75" customHeight="1" x14ac:dyDescent="0.25"/>
    <row r="2242" ht="15.75" customHeight="1" x14ac:dyDescent="0.25"/>
    <row r="2243" ht="15.75" customHeight="1" x14ac:dyDescent="0.25"/>
    <row r="2244" ht="15.75" customHeight="1" x14ac:dyDescent="0.25"/>
    <row r="2245" ht="15.75" customHeight="1" x14ac:dyDescent="0.25"/>
    <row r="2246" ht="15.75" customHeight="1" x14ac:dyDescent="0.25"/>
    <row r="2247" ht="15.75" customHeight="1" x14ac:dyDescent="0.25"/>
    <row r="2248" ht="15.75" customHeight="1" x14ac:dyDescent="0.25"/>
    <row r="2249" ht="15.75" customHeight="1" x14ac:dyDescent="0.25"/>
    <row r="2250" ht="15.75" customHeight="1" x14ac:dyDescent="0.25"/>
    <row r="2251" ht="15.75" customHeight="1" x14ac:dyDescent="0.25"/>
    <row r="2252" ht="15.75" customHeight="1" x14ac:dyDescent="0.25"/>
    <row r="2253" ht="15.75" customHeight="1" x14ac:dyDescent="0.25"/>
    <row r="2254" ht="15.75" customHeight="1" x14ac:dyDescent="0.25"/>
    <row r="2255" ht="15.75" customHeight="1" x14ac:dyDescent="0.25"/>
    <row r="2256" ht="15.75" customHeight="1" x14ac:dyDescent="0.25"/>
    <row r="2257" ht="15.75" customHeight="1" x14ac:dyDescent="0.25"/>
    <row r="2258" ht="15.75" customHeight="1" x14ac:dyDescent="0.25"/>
    <row r="2259" ht="15.75" customHeight="1" x14ac:dyDescent="0.25"/>
    <row r="2260" ht="15.75" customHeight="1" x14ac:dyDescent="0.25"/>
    <row r="2261" ht="15.75" customHeight="1" x14ac:dyDescent="0.25"/>
    <row r="2262" ht="15.75" customHeight="1" x14ac:dyDescent="0.25"/>
    <row r="2263" ht="15.75" customHeight="1" x14ac:dyDescent="0.25"/>
    <row r="2264" ht="15.75" customHeight="1" x14ac:dyDescent="0.25"/>
    <row r="2265" ht="15.75" customHeight="1" x14ac:dyDescent="0.25"/>
    <row r="2266" ht="15.75" customHeight="1" x14ac:dyDescent="0.25"/>
    <row r="2267" ht="15.75" customHeight="1" x14ac:dyDescent="0.25"/>
    <row r="2268" ht="15.75" customHeight="1" x14ac:dyDescent="0.25"/>
    <row r="2269" ht="15.75" customHeight="1" x14ac:dyDescent="0.25"/>
    <row r="2270" ht="15.75" customHeight="1" x14ac:dyDescent="0.25"/>
    <row r="2271" ht="15.75" customHeight="1" x14ac:dyDescent="0.25"/>
    <row r="2272" ht="15.75" customHeight="1" x14ac:dyDescent="0.25"/>
    <row r="2273" spans="2144:2144" ht="15.75" customHeight="1" x14ac:dyDescent="0.25"/>
    <row r="2274" spans="2144:2144" ht="15.75" customHeight="1" x14ac:dyDescent="0.25"/>
    <row r="2275" spans="2144:2144" ht="15.75" customHeight="1" x14ac:dyDescent="0.25"/>
    <row r="2276" spans="2144:2144" ht="15.75" customHeight="1" x14ac:dyDescent="0.25"/>
    <row r="2277" spans="2144:2144" ht="15.75" customHeight="1" x14ac:dyDescent="0.25"/>
    <row r="2278" spans="2144:2144" ht="15.75" customHeight="1" x14ac:dyDescent="0.25"/>
    <row r="2279" spans="2144:2144" ht="15.75" customHeight="1" x14ac:dyDescent="0.25"/>
    <row r="2280" spans="2144:2144" ht="15.75" customHeight="1" x14ac:dyDescent="0.25"/>
    <row r="2281" spans="2144:2144" ht="15.75" customHeight="1" x14ac:dyDescent="0.25"/>
    <row r="2282" spans="2144:2144" ht="15.75" customHeight="1" x14ac:dyDescent="0.25"/>
    <row r="2283" spans="2144:2144" ht="15.75" customHeight="1" x14ac:dyDescent="0.25"/>
    <row r="2284" spans="2144:2144" ht="15.75" customHeight="1" x14ac:dyDescent="0.25"/>
    <row r="2285" spans="2144:2144" ht="15.75" customHeight="1" x14ac:dyDescent="0.25"/>
    <row r="2286" spans="2144:2144" ht="15.75" customHeight="1" x14ac:dyDescent="0.25"/>
    <row r="2287" spans="2144:2144" ht="15" customHeight="1" x14ac:dyDescent="0.25">
      <c r="CDL2287" s="1" t="s">
        <v>93</v>
      </c>
    </row>
    <row r="2288" spans="2144:2144" ht="15.75" customHeight="1" x14ac:dyDescent="0.25"/>
    <row r="2289" ht="15.75" customHeight="1" x14ac:dyDescent="0.25"/>
    <row r="2290" ht="15.75" customHeight="1" x14ac:dyDescent="0.25"/>
    <row r="2291" ht="15.75" customHeight="1" x14ac:dyDescent="0.25"/>
    <row r="2292" ht="15.75" customHeight="1" x14ac:dyDescent="0.25"/>
    <row r="2293" ht="15.75" customHeight="1" x14ac:dyDescent="0.25"/>
    <row r="2294" ht="15.75" customHeight="1" x14ac:dyDescent="0.25"/>
    <row r="2295" ht="15.75" customHeight="1" x14ac:dyDescent="0.25"/>
    <row r="2296" ht="15.75" customHeight="1" x14ac:dyDescent="0.25"/>
    <row r="2297" ht="15.75" customHeight="1" x14ac:dyDescent="0.25"/>
    <row r="2298" ht="15.75" customHeight="1" x14ac:dyDescent="0.25"/>
    <row r="2299" ht="15.75" customHeight="1" x14ac:dyDescent="0.25"/>
    <row r="2300" ht="15.75" customHeight="1" x14ac:dyDescent="0.25"/>
    <row r="2301" ht="15.75" customHeight="1" x14ac:dyDescent="0.25"/>
    <row r="2302" ht="15.75" customHeight="1" x14ac:dyDescent="0.25"/>
    <row r="2303" ht="15.75" customHeight="1" x14ac:dyDescent="0.25"/>
    <row r="2304" ht="15.75" customHeight="1" x14ac:dyDescent="0.25"/>
    <row r="2305" ht="15.75" customHeight="1" x14ac:dyDescent="0.25"/>
    <row r="2306" ht="15.75" customHeight="1" x14ac:dyDescent="0.25"/>
    <row r="2307" ht="15.75" customHeight="1" x14ac:dyDescent="0.25"/>
    <row r="2308" ht="15.75" customHeight="1" x14ac:dyDescent="0.25"/>
    <row r="2309" ht="15.75" customHeight="1" x14ac:dyDescent="0.25"/>
    <row r="2310" ht="15.75" customHeight="1" x14ac:dyDescent="0.25"/>
    <row r="2311" ht="15.75" customHeight="1" x14ac:dyDescent="0.25"/>
    <row r="2312" ht="15.75" customHeight="1" x14ac:dyDescent="0.25"/>
    <row r="2313" ht="15.75" customHeight="1" x14ac:dyDescent="0.25"/>
    <row r="2314" ht="15.75" customHeight="1" x14ac:dyDescent="0.25"/>
    <row r="2315" ht="15.75" customHeight="1" x14ac:dyDescent="0.25"/>
    <row r="2316" ht="15.75" customHeight="1" x14ac:dyDescent="0.25"/>
    <row r="2317" ht="15.75" customHeight="1" x14ac:dyDescent="0.25"/>
    <row r="2318" ht="15.75" customHeight="1" x14ac:dyDescent="0.25"/>
    <row r="2319" ht="15.75" customHeight="1" x14ac:dyDescent="0.25"/>
    <row r="2320" ht="15.75" customHeight="1" x14ac:dyDescent="0.25"/>
    <row r="2321" ht="15.75" customHeight="1" x14ac:dyDescent="0.25"/>
    <row r="2322" ht="15.75" customHeight="1" x14ac:dyDescent="0.25"/>
    <row r="2323" ht="15.75" customHeight="1" x14ac:dyDescent="0.25"/>
    <row r="2324" ht="15.75" customHeight="1" x14ac:dyDescent="0.25"/>
    <row r="2325" ht="15.75" customHeight="1" x14ac:dyDescent="0.25"/>
    <row r="2326" ht="15.75" customHeight="1" x14ac:dyDescent="0.25"/>
    <row r="2327" ht="15.75" customHeight="1" x14ac:dyDescent="0.25"/>
    <row r="2328" ht="15.75" customHeight="1" x14ac:dyDescent="0.25"/>
    <row r="2329" ht="15.75" customHeight="1" x14ac:dyDescent="0.25"/>
    <row r="2330" ht="15.75" customHeight="1" x14ac:dyDescent="0.25"/>
    <row r="2331" ht="15.75" customHeight="1" x14ac:dyDescent="0.25"/>
    <row r="2332" ht="15.75" customHeight="1" x14ac:dyDescent="0.25"/>
    <row r="2333" ht="15.75" customHeight="1" x14ac:dyDescent="0.25"/>
    <row r="2334" ht="15.75" customHeight="1" x14ac:dyDescent="0.25"/>
    <row r="2335" ht="15.75" customHeight="1" x14ac:dyDescent="0.25"/>
    <row r="2336" ht="15.75" customHeight="1" x14ac:dyDescent="0.25"/>
    <row r="2337" ht="15.75" customHeight="1" x14ac:dyDescent="0.25"/>
    <row r="2338" ht="15.75" customHeight="1" x14ac:dyDescent="0.25"/>
    <row r="2339" ht="15.75" customHeight="1" x14ac:dyDescent="0.25"/>
    <row r="2340" ht="15.75" customHeight="1" x14ac:dyDescent="0.25"/>
    <row r="2341" ht="15.75" customHeight="1" x14ac:dyDescent="0.25"/>
    <row r="2342" ht="15.75" customHeight="1" x14ac:dyDescent="0.25"/>
    <row r="2343" ht="15.75" customHeight="1" x14ac:dyDescent="0.25"/>
    <row r="2344" ht="15.75" customHeight="1" x14ac:dyDescent="0.25"/>
    <row r="2345" ht="15.75" customHeight="1" x14ac:dyDescent="0.25"/>
    <row r="2346" ht="15.75" customHeight="1" x14ac:dyDescent="0.25"/>
    <row r="2347" ht="15.75" customHeight="1" x14ac:dyDescent="0.25"/>
    <row r="2348" ht="15.75" customHeight="1" x14ac:dyDescent="0.25"/>
    <row r="2349" ht="15.75" customHeight="1" x14ac:dyDescent="0.25"/>
    <row r="2350" ht="15.75" customHeight="1" x14ac:dyDescent="0.25"/>
    <row r="2351" ht="15.75" customHeight="1" x14ac:dyDescent="0.25"/>
    <row r="2352" ht="15.75" customHeight="1" x14ac:dyDescent="0.25"/>
    <row r="2353" ht="15.75" customHeight="1" x14ac:dyDescent="0.25"/>
    <row r="2354" ht="15.75" customHeight="1" x14ac:dyDescent="0.25"/>
    <row r="2355" ht="15.75" customHeight="1" x14ac:dyDescent="0.25"/>
    <row r="2356" ht="15.75" customHeight="1" x14ac:dyDescent="0.25"/>
    <row r="2357" ht="15.75" customHeight="1" x14ac:dyDescent="0.25"/>
    <row r="2358" ht="15.75" customHeight="1" x14ac:dyDescent="0.25"/>
    <row r="2359" ht="15.75" customHeight="1" x14ac:dyDescent="0.25"/>
    <row r="2360" ht="15.75" customHeight="1" x14ac:dyDescent="0.25"/>
    <row r="2361" ht="15.75" customHeight="1" x14ac:dyDescent="0.25"/>
    <row r="2362" ht="15.75" customHeight="1" x14ac:dyDescent="0.25"/>
    <row r="2363" ht="15.75" customHeight="1" x14ac:dyDescent="0.25"/>
    <row r="2364" ht="15.75" customHeight="1" x14ac:dyDescent="0.25"/>
    <row r="2365" ht="15.75" customHeight="1" x14ac:dyDescent="0.25"/>
    <row r="2366" ht="15.75" customHeight="1" x14ac:dyDescent="0.25"/>
    <row r="2367" ht="15.75" customHeight="1" x14ac:dyDescent="0.25"/>
    <row r="2368" ht="15.75" customHeight="1" x14ac:dyDescent="0.25"/>
    <row r="2369" ht="15.75" customHeight="1" x14ac:dyDescent="0.25"/>
    <row r="2370" ht="15.75" customHeight="1" x14ac:dyDescent="0.25"/>
    <row r="2371" ht="15.75" customHeight="1" x14ac:dyDescent="0.25"/>
    <row r="2372" ht="15.75" customHeight="1" x14ac:dyDescent="0.25"/>
    <row r="2373" ht="15.75" customHeight="1" x14ac:dyDescent="0.25"/>
    <row r="2374" ht="15.75" customHeight="1" x14ac:dyDescent="0.25"/>
    <row r="2375" ht="15.75" customHeight="1" x14ac:dyDescent="0.25"/>
    <row r="2376" ht="15.75" customHeight="1" x14ac:dyDescent="0.25"/>
    <row r="2377" ht="15.75" customHeight="1" x14ac:dyDescent="0.25"/>
    <row r="2378" ht="15.75" customHeight="1" x14ac:dyDescent="0.25"/>
    <row r="2379" ht="15.75" customHeight="1" x14ac:dyDescent="0.25"/>
    <row r="2380" ht="15.75" customHeight="1" x14ac:dyDescent="0.25"/>
    <row r="2381" ht="15.75" customHeight="1" x14ac:dyDescent="0.25"/>
    <row r="2382" ht="15.75" customHeight="1" x14ac:dyDescent="0.25"/>
    <row r="2383" ht="15.75" customHeight="1" x14ac:dyDescent="0.25"/>
    <row r="2384" ht="15.75" customHeight="1" x14ac:dyDescent="0.25"/>
    <row r="2385" ht="15.75" customHeight="1" x14ac:dyDescent="0.25"/>
    <row r="2386" ht="15.75" customHeight="1" x14ac:dyDescent="0.25"/>
    <row r="2387" ht="15.75" customHeight="1" x14ac:dyDescent="0.25"/>
    <row r="2388" ht="15.75" customHeight="1" x14ac:dyDescent="0.25"/>
    <row r="2389" ht="15.75" customHeight="1" x14ac:dyDescent="0.25"/>
    <row r="2390" ht="15.75" customHeight="1" x14ac:dyDescent="0.25"/>
    <row r="2391" ht="15.75" customHeight="1" x14ac:dyDescent="0.25"/>
    <row r="2392" ht="15.75" customHeight="1" x14ac:dyDescent="0.25"/>
    <row r="2393" ht="15.75" customHeight="1" x14ac:dyDescent="0.25"/>
    <row r="2394" ht="15.75" customHeight="1" x14ac:dyDescent="0.25"/>
    <row r="2395" ht="15.75" customHeight="1" x14ac:dyDescent="0.25"/>
    <row r="2396" ht="15.75" customHeight="1" x14ac:dyDescent="0.25"/>
    <row r="2397" ht="15.75" customHeight="1" x14ac:dyDescent="0.25"/>
    <row r="2398" ht="15.75" customHeight="1" x14ac:dyDescent="0.25"/>
    <row r="2399" ht="15.75" customHeight="1" x14ac:dyDescent="0.25"/>
    <row r="2400" ht="15.75" customHeight="1" x14ac:dyDescent="0.25"/>
    <row r="2401" ht="15.75" customHeight="1" x14ac:dyDescent="0.25"/>
    <row r="2402" ht="15.75" customHeight="1" x14ac:dyDescent="0.25"/>
    <row r="2403" ht="15.75" customHeight="1" x14ac:dyDescent="0.25"/>
    <row r="2404" ht="15.75" customHeight="1" x14ac:dyDescent="0.25"/>
    <row r="2405" ht="15.75" customHeight="1" x14ac:dyDescent="0.25"/>
    <row r="2406" ht="15.75" customHeight="1" x14ac:dyDescent="0.25"/>
    <row r="2407" ht="15.75" customHeight="1" x14ac:dyDescent="0.25"/>
    <row r="2408" ht="15.75" customHeight="1" x14ac:dyDescent="0.25"/>
    <row r="2409" ht="15.75" customHeight="1" x14ac:dyDescent="0.25"/>
    <row r="2410" ht="15.75" customHeight="1" x14ac:dyDescent="0.25"/>
    <row r="2411" ht="15.75" customHeight="1" x14ac:dyDescent="0.25"/>
    <row r="2412" ht="15.75" customHeight="1" x14ac:dyDescent="0.25"/>
    <row r="2413" ht="15.75" customHeight="1" x14ac:dyDescent="0.25"/>
    <row r="2414" ht="15.75" customHeight="1" x14ac:dyDescent="0.25"/>
    <row r="2415" ht="15.75" customHeight="1" x14ac:dyDescent="0.25"/>
    <row r="2416" ht="15.75" customHeight="1" x14ac:dyDescent="0.25"/>
    <row r="2417" ht="15.75" customHeight="1" x14ac:dyDescent="0.25"/>
    <row r="2418" ht="15.75" customHeight="1" x14ac:dyDescent="0.25"/>
    <row r="2419" ht="15.75" customHeight="1" x14ac:dyDescent="0.25"/>
    <row r="2420" ht="15.75" customHeight="1" x14ac:dyDescent="0.25"/>
    <row r="2421" ht="15.75" customHeight="1" x14ac:dyDescent="0.25"/>
    <row r="2422" ht="15.75" customHeight="1" x14ac:dyDescent="0.25"/>
    <row r="2423" ht="15.75" customHeight="1" x14ac:dyDescent="0.25"/>
    <row r="2424" ht="15.75" customHeight="1" x14ac:dyDescent="0.25"/>
    <row r="2425" ht="15.75" customHeight="1" x14ac:dyDescent="0.25"/>
    <row r="2426" ht="15.75" customHeight="1" x14ac:dyDescent="0.25"/>
    <row r="2427" ht="15.75" customHeight="1" x14ac:dyDescent="0.25"/>
    <row r="2428" ht="15.75" customHeight="1" x14ac:dyDescent="0.25"/>
    <row r="2429" ht="15.75" customHeight="1" x14ac:dyDescent="0.25"/>
    <row r="2430" ht="15.75" customHeight="1" x14ac:dyDescent="0.25"/>
    <row r="2431" ht="15.75" customHeight="1" x14ac:dyDescent="0.25"/>
    <row r="2432" ht="15.75" customHeight="1" x14ac:dyDescent="0.25"/>
    <row r="2433" ht="15.75" customHeight="1" x14ac:dyDescent="0.25"/>
    <row r="2434" ht="15.75" customHeight="1" x14ac:dyDescent="0.25"/>
    <row r="2435" ht="15.75" customHeight="1" x14ac:dyDescent="0.25"/>
    <row r="2436" ht="15.75" customHeight="1" x14ac:dyDescent="0.25"/>
    <row r="2437" ht="15.75" customHeight="1" x14ac:dyDescent="0.25"/>
    <row r="2438" ht="15.75" customHeight="1" x14ac:dyDescent="0.25"/>
    <row r="2439" ht="15.75" customHeight="1" x14ac:dyDescent="0.25"/>
    <row r="2440" ht="15.75" customHeight="1" x14ac:dyDescent="0.25"/>
    <row r="2441" ht="15.75" customHeight="1" x14ac:dyDescent="0.25"/>
    <row r="2442" ht="15.75" customHeight="1" x14ac:dyDescent="0.25"/>
    <row r="2443" ht="15.75" customHeight="1" x14ac:dyDescent="0.25"/>
    <row r="2444" ht="15.75" customHeight="1" x14ac:dyDescent="0.25"/>
    <row r="2445" ht="15.75" customHeight="1" x14ac:dyDescent="0.25"/>
    <row r="2446" ht="15.75" customHeight="1" x14ac:dyDescent="0.25"/>
    <row r="2447" ht="15.75" customHeight="1" x14ac:dyDescent="0.25"/>
    <row r="2448" ht="15.75" customHeight="1" x14ac:dyDescent="0.25"/>
    <row r="2449" ht="15.75" customHeight="1" x14ac:dyDescent="0.25"/>
    <row r="2450" ht="15.75" customHeight="1" x14ac:dyDescent="0.25"/>
    <row r="2451" ht="15.75" customHeight="1" x14ac:dyDescent="0.25"/>
    <row r="2452" ht="15.75" customHeight="1" x14ac:dyDescent="0.25"/>
    <row r="2453" ht="15.75" customHeight="1" x14ac:dyDescent="0.25"/>
    <row r="2454" ht="15.75" customHeight="1" x14ac:dyDescent="0.25"/>
    <row r="2455" ht="15.75" customHeight="1" x14ac:dyDescent="0.25"/>
    <row r="2456" ht="15.75" customHeight="1" x14ac:dyDescent="0.25"/>
    <row r="2457" ht="15.75" customHeight="1" x14ac:dyDescent="0.25"/>
    <row r="2458" ht="15.75" customHeight="1" x14ac:dyDescent="0.25"/>
    <row r="2459" ht="15.75" customHeight="1" x14ac:dyDescent="0.25"/>
    <row r="2460" ht="15.75" customHeight="1" x14ac:dyDescent="0.25"/>
    <row r="2461" ht="15.75" customHeight="1" x14ac:dyDescent="0.25"/>
    <row r="2462" ht="15.75" customHeight="1" x14ac:dyDescent="0.25"/>
    <row r="2463" ht="15.75" customHeight="1" x14ac:dyDescent="0.25"/>
    <row r="2464" ht="15.75" customHeight="1" x14ac:dyDescent="0.25"/>
    <row r="2465" ht="15.75" customHeight="1" x14ac:dyDescent="0.25"/>
    <row r="2466" ht="15.75" customHeight="1" x14ac:dyDescent="0.25"/>
    <row r="2467" ht="15.75" customHeight="1" x14ac:dyDescent="0.25"/>
    <row r="2468" ht="15.75" customHeight="1" x14ac:dyDescent="0.25"/>
    <row r="2469" ht="15.75" customHeight="1" x14ac:dyDescent="0.25"/>
    <row r="2470" ht="15.75" customHeight="1" x14ac:dyDescent="0.25"/>
    <row r="2471" ht="15.75" customHeight="1" x14ac:dyDescent="0.25"/>
    <row r="2472" ht="15.75" customHeight="1" x14ac:dyDescent="0.25"/>
    <row r="2473" ht="15.75" customHeight="1" x14ac:dyDescent="0.25"/>
    <row r="2474" ht="15.75" customHeight="1" x14ac:dyDescent="0.25"/>
    <row r="2475" ht="15.75" customHeight="1" x14ac:dyDescent="0.25"/>
    <row r="2476" ht="15.75" customHeight="1" x14ac:dyDescent="0.25"/>
    <row r="2477" ht="15.75" customHeight="1" x14ac:dyDescent="0.25"/>
    <row r="2478" ht="15.75" customHeight="1" x14ac:dyDescent="0.25"/>
    <row r="2479" ht="15.75" customHeight="1" x14ac:dyDescent="0.25"/>
    <row r="2480" ht="15.75" customHeight="1" x14ac:dyDescent="0.25"/>
    <row r="2481" ht="15.75" customHeight="1" x14ac:dyDescent="0.25"/>
    <row r="2482" ht="15.75" customHeight="1" x14ac:dyDescent="0.25"/>
    <row r="2483" ht="15.75" customHeight="1" x14ac:dyDescent="0.25"/>
    <row r="2484" ht="15.75" customHeight="1" x14ac:dyDescent="0.25"/>
    <row r="2485" ht="15.75" customHeight="1" x14ac:dyDescent="0.25"/>
    <row r="2486" ht="15.75" customHeight="1" x14ac:dyDescent="0.25"/>
    <row r="2487" ht="15.75" customHeight="1" x14ac:dyDescent="0.25"/>
    <row r="2488" ht="15.75" customHeight="1" x14ac:dyDescent="0.25"/>
    <row r="2489" ht="15.75" customHeight="1" x14ac:dyDescent="0.25"/>
    <row r="2490" ht="15.75" customHeight="1" x14ac:dyDescent="0.25"/>
    <row r="2491" ht="15.75" customHeight="1" x14ac:dyDescent="0.25"/>
    <row r="2492" ht="15.75" customHeight="1" x14ac:dyDescent="0.25"/>
    <row r="2493" ht="15.75" customHeight="1" x14ac:dyDescent="0.25"/>
    <row r="2494" ht="15.75" customHeight="1" x14ac:dyDescent="0.25"/>
    <row r="2495" ht="15.75" customHeight="1" x14ac:dyDescent="0.25"/>
    <row r="2496" ht="15.75" customHeight="1" x14ac:dyDescent="0.25"/>
    <row r="2497" ht="15.75" customHeight="1" x14ac:dyDescent="0.25"/>
    <row r="2498" ht="15.75" customHeight="1" x14ac:dyDescent="0.25"/>
    <row r="2499" ht="15.75" customHeight="1" x14ac:dyDescent="0.25"/>
    <row r="2500" ht="15.75" customHeight="1" x14ac:dyDescent="0.25"/>
    <row r="2501" ht="15.75" customHeight="1" x14ac:dyDescent="0.25"/>
    <row r="2502" ht="15.75" customHeight="1" x14ac:dyDescent="0.25"/>
    <row r="2503" ht="15.75" customHeight="1" x14ac:dyDescent="0.25"/>
    <row r="2504" ht="15.75" customHeight="1" x14ac:dyDescent="0.25"/>
    <row r="2505" ht="15.75" customHeight="1" x14ac:dyDescent="0.25"/>
    <row r="2506" ht="15.75" customHeight="1" x14ac:dyDescent="0.25"/>
    <row r="2507" ht="15.75" customHeight="1" x14ac:dyDescent="0.25"/>
    <row r="2508" ht="15.75" customHeight="1" x14ac:dyDescent="0.25"/>
    <row r="2509" ht="15.75" customHeight="1" x14ac:dyDescent="0.25"/>
    <row r="2510" ht="15.75" customHeight="1" x14ac:dyDescent="0.25"/>
    <row r="2511" ht="15.75" customHeight="1" x14ac:dyDescent="0.25"/>
    <row r="2512" ht="15.75" customHeight="1" x14ac:dyDescent="0.25"/>
    <row r="2513" ht="15.75" customHeight="1" x14ac:dyDescent="0.25"/>
    <row r="2514" ht="15.75" customHeight="1" x14ac:dyDescent="0.25"/>
    <row r="2515" ht="15.75" customHeight="1" x14ac:dyDescent="0.25"/>
    <row r="2516" ht="15.75" customHeight="1" x14ac:dyDescent="0.25"/>
    <row r="2517" ht="15.75" customHeight="1" x14ac:dyDescent="0.25"/>
    <row r="2518" ht="15.75" customHeight="1" x14ac:dyDescent="0.25"/>
    <row r="2519" ht="15.75" customHeight="1" x14ac:dyDescent="0.25"/>
    <row r="2520" ht="15.75" customHeight="1" x14ac:dyDescent="0.25"/>
    <row r="2521" ht="15.75" customHeight="1" x14ac:dyDescent="0.25"/>
    <row r="2522" ht="15.75" customHeight="1" x14ac:dyDescent="0.25"/>
    <row r="2523" ht="15.75" customHeight="1" x14ac:dyDescent="0.25"/>
    <row r="2524" ht="15.75" customHeight="1" x14ac:dyDescent="0.25"/>
    <row r="2525" ht="15.75" customHeight="1" x14ac:dyDescent="0.25"/>
    <row r="2526" ht="15.75" customHeight="1" x14ac:dyDescent="0.25"/>
    <row r="2527" ht="15.75" customHeight="1" x14ac:dyDescent="0.25"/>
    <row r="2528" ht="15.75" customHeight="1" x14ac:dyDescent="0.25"/>
    <row r="2529" ht="15.75" customHeight="1" x14ac:dyDescent="0.25"/>
    <row r="2530" ht="15.75" customHeight="1" x14ac:dyDescent="0.25"/>
    <row r="2531" ht="15.75" customHeight="1" x14ac:dyDescent="0.25"/>
    <row r="2532" ht="15.75" customHeight="1" x14ac:dyDescent="0.25"/>
    <row r="2533" ht="15.75" customHeight="1" x14ac:dyDescent="0.25"/>
    <row r="2534" ht="15.75" customHeight="1" x14ac:dyDescent="0.25"/>
    <row r="2535" ht="15.75" customHeight="1" x14ac:dyDescent="0.25"/>
    <row r="2536" ht="15.75" customHeight="1" x14ac:dyDescent="0.25"/>
    <row r="2537" ht="15.75" customHeight="1" x14ac:dyDescent="0.25"/>
    <row r="2538" ht="15.75" customHeight="1" x14ac:dyDescent="0.25"/>
    <row r="2539" ht="15.75" customHeight="1" x14ac:dyDescent="0.25"/>
    <row r="2540" ht="15.75" customHeight="1" x14ac:dyDescent="0.25"/>
    <row r="2541" ht="15.75" customHeight="1" x14ac:dyDescent="0.25"/>
    <row r="2542" ht="15.75" customHeight="1" x14ac:dyDescent="0.25"/>
    <row r="2543" ht="15.75" customHeight="1" x14ac:dyDescent="0.25"/>
    <row r="2544" ht="15.75" customHeight="1" x14ac:dyDescent="0.25"/>
    <row r="2545" ht="15.75" customHeight="1" x14ac:dyDescent="0.25"/>
    <row r="2546" ht="15.75" customHeight="1" x14ac:dyDescent="0.25"/>
    <row r="2547" ht="15.75" customHeight="1" x14ac:dyDescent="0.25"/>
    <row r="2548" ht="15.75" customHeight="1" x14ac:dyDescent="0.25"/>
    <row r="2549" ht="15.75" customHeight="1" x14ac:dyDescent="0.25"/>
    <row r="2550" ht="15.75" customHeight="1" x14ac:dyDescent="0.25"/>
    <row r="2551" ht="15.75" customHeight="1" x14ac:dyDescent="0.25"/>
    <row r="2552" ht="15.75" customHeight="1" x14ac:dyDescent="0.25"/>
    <row r="2553" ht="15.75" customHeight="1" x14ac:dyDescent="0.25"/>
    <row r="2554" ht="15.75" customHeight="1" x14ac:dyDescent="0.25"/>
    <row r="2555" ht="15.75" customHeight="1" x14ac:dyDescent="0.25"/>
    <row r="2556" ht="15.75" customHeight="1" x14ac:dyDescent="0.25"/>
    <row r="2557" ht="15.75" customHeight="1" x14ac:dyDescent="0.25"/>
    <row r="2558" ht="15.75" customHeight="1" x14ac:dyDescent="0.25"/>
    <row r="2559" ht="15.75" customHeight="1" x14ac:dyDescent="0.25"/>
    <row r="2560" ht="15.75" customHeight="1" x14ac:dyDescent="0.25"/>
    <row r="2561" ht="15.75" customHeight="1" x14ac:dyDescent="0.25"/>
    <row r="2562" ht="15.75" customHeight="1" x14ac:dyDescent="0.25"/>
    <row r="2563" ht="15.75" customHeight="1" x14ac:dyDescent="0.25"/>
    <row r="2564" ht="15.75" customHeight="1" x14ac:dyDescent="0.25"/>
    <row r="2565" ht="15.75" customHeight="1" x14ac:dyDescent="0.25"/>
    <row r="2566" ht="15.75" customHeight="1" x14ac:dyDescent="0.25"/>
    <row r="2567" ht="15.75" customHeight="1" x14ac:dyDescent="0.25"/>
    <row r="2568" ht="15.75" customHeight="1" x14ac:dyDescent="0.25"/>
    <row r="2569" ht="15.75" customHeight="1" x14ac:dyDescent="0.25"/>
    <row r="2570" ht="15.75" customHeight="1" x14ac:dyDescent="0.25"/>
    <row r="2571" ht="15.75" customHeight="1" x14ac:dyDescent="0.25"/>
    <row r="2572" ht="15.75" customHeight="1" x14ac:dyDescent="0.25"/>
    <row r="2573" ht="15.75" customHeight="1" x14ac:dyDescent="0.25"/>
    <row r="2574" ht="15.75" customHeight="1" x14ac:dyDescent="0.25"/>
    <row r="2575" ht="15.75" customHeight="1" x14ac:dyDescent="0.25"/>
    <row r="2576" ht="15.75" customHeight="1" x14ac:dyDescent="0.25"/>
    <row r="2577" ht="15.75" customHeight="1" x14ac:dyDescent="0.25"/>
    <row r="2578" ht="15.75" customHeight="1" x14ac:dyDescent="0.25"/>
    <row r="2579" ht="15.75" customHeight="1" x14ac:dyDescent="0.25"/>
    <row r="2580" ht="15.75" customHeight="1" x14ac:dyDescent="0.25"/>
    <row r="2581" ht="15.75" customHeight="1" x14ac:dyDescent="0.25"/>
    <row r="2582" ht="15.75" customHeight="1" x14ac:dyDescent="0.25"/>
    <row r="2583" ht="15.75" customHeight="1" x14ac:dyDescent="0.25"/>
    <row r="2584" ht="15.75" customHeight="1" x14ac:dyDescent="0.25"/>
    <row r="2585" ht="15.75" customHeight="1" x14ac:dyDescent="0.25"/>
    <row r="2586" ht="15.75" customHeight="1" x14ac:dyDescent="0.25"/>
    <row r="2587" ht="15.75" customHeight="1" x14ac:dyDescent="0.25"/>
    <row r="2588" ht="15.75" customHeight="1" x14ac:dyDescent="0.25"/>
    <row r="2589" ht="15.75" customHeight="1" x14ac:dyDescent="0.25"/>
    <row r="2590" ht="15.75" customHeight="1" x14ac:dyDescent="0.25"/>
    <row r="2591" ht="15.75" customHeight="1" x14ac:dyDescent="0.25"/>
    <row r="2592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ht="15.75" customHeight="1" x14ac:dyDescent="0.25"/>
    <row r="2610" ht="15.75" customHeight="1" x14ac:dyDescent="0.25"/>
    <row r="2611" ht="15.75" customHeight="1" x14ac:dyDescent="0.25"/>
    <row r="2612" ht="15.75" customHeight="1" x14ac:dyDescent="0.25"/>
    <row r="2613" ht="15.75" customHeight="1" x14ac:dyDescent="0.25"/>
    <row r="2614" ht="15.75" customHeight="1" x14ac:dyDescent="0.25"/>
    <row r="2615" ht="15.75" customHeight="1" x14ac:dyDescent="0.25"/>
    <row r="2616" ht="15.75" customHeight="1" x14ac:dyDescent="0.25"/>
    <row r="2617" ht="15.75" customHeight="1" x14ac:dyDescent="0.25"/>
    <row r="2618" ht="15.75" customHeight="1" x14ac:dyDescent="0.25"/>
    <row r="2619" ht="15.75" customHeight="1" x14ac:dyDescent="0.25"/>
    <row r="2620" ht="15.75" customHeight="1" x14ac:dyDescent="0.25"/>
    <row r="2621" ht="15.75" customHeight="1" x14ac:dyDescent="0.25"/>
    <row r="2622" ht="15.75" customHeight="1" x14ac:dyDescent="0.25"/>
    <row r="2623" ht="15.75" customHeight="1" x14ac:dyDescent="0.25"/>
    <row r="2624" ht="15.75" customHeight="1" x14ac:dyDescent="0.25"/>
    <row r="2625" ht="15.75" customHeight="1" x14ac:dyDescent="0.25"/>
    <row r="2626" ht="15.75" customHeight="1" x14ac:dyDescent="0.25"/>
    <row r="2627" ht="15.75" customHeight="1" x14ac:dyDescent="0.25"/>
    <row r="2628" ht="15.75" customHeight="1" x14ac:dyDescent="0.25"/>
    <row r="2629" ht="15.75" customHeight="1" x14ac:dyDescent="0.25"/>
    <row r="2630" ht="15.75" customHeight="1" x14ac:dyDescent="0.25"/>
    <row r="2631" ht="15.75" customHeight="1" x14ac:dyDescent="0.25"/>
    <row r="2632" ht="15.75" customHeight="1" x14ac:dyDescent="0.25"/>
    <row r="2633" ht="15.75" customHeight="1" x14ac:dyDescent="0.25"/>
    <row r="2634" ht="15.75" customHeight="1" x14ac:dyDescent="0.25"/>
    <row r="2635" ht="15.75" customHeight="1" x14ac:dyDescent="0.25"/>
    <row r="2636" ht="15.75" customHeight="1" x14ac:dyDescent="0.25"/>
    <row r="2637" ht="15.75" customHeight="1" x14ac:dyDescent="0.25"/>
    <row r="2638" ht="15.75" customHeight="1" x14ac:dyDescent="0.25"/>
    <row r="2639" ht="15.75" customHeight="1" x14ac:dyDescent="0.25"/>
    <row r="2640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ht="15.75" customHeight="1" x14ac:dyDescent="0.25"/>
    <row r="2658" ht="15.75" customHeight="1" x14ac:dyDescent="0.25"/>
    <row r="2659" ht="15.75" customHeight="1" x14ac:dyDescent="0.25"/>
    <row r="2660" ht="15.75" customHeight="1" x14ac:dyDescent="0.25"/>
    <row r="2661" ht="15.75" customHeight="1" x14ac:dyDescent="0.25"/>
    <row r="2662" ht="15.75" customHeight="1" x14ac:dyDescent="0.25"/>
    <row r="2663" ht="15.75" customHeight="1" x14ac:dyDescent="0.25"/>
    <row r="2664" ht="15.75" customHeight="1" x14ac:dyDescent="0.25"/>
    <row r="2665" ht="15.75" customHeight="1" x14ac:dyDescent="0.25"/>
    <row r="2666" ht="15.75" customHeight="1" x14ac:dyDescent="0.25"/>
    <row r="2667" ht="15.75" customHeight="1" x14ac:dyDescent="0.25"/>
    <row r="2668" ht="15.75" customHeight="1" x14ac:dyDescent="0.25"/>
    <row r="2669" ht="15.75" customHeight="1" x14ac:dyDescent="0.25"/>
    <row r="2670" ht="15.75" customHeight="1" x14ac:dyDescent="0.25"/>
    <row r="2671" ht="15.75" customHeight="1" x14ac:dyDescent="0.25"/>
    <row r="2672" ht="15.75" customHeight="1" x14ac:dyDescent="0.25"/>
    <row r="2673" ht="15.75" customHeight="1" x14ac:dyDescent="0.25"/>
    <row r="2674" ht="15.75" customHeight="1" x14ac:dyDescent="0.25"/>
    <row r="2675" ht="15.75" customHeight="1" x14ac:dyDescent="0.25"/>
    <row r="2676" ht="15.75" customHeight="1" x14ac:dyDescent="0.25"/>
    <row r="2677" ht="15.75" customHeight="1" x14ac:dyDescent="0.25"/>
    <row r="2678" ht="15.75" customHeight="1" x14ac:dyDescent="0.25"/>
    <row r="2679" ht="15.75" customHeight="1" x14ac:dyDescent="0.25"/>
    <row r="2680" ht="15.75" customHeight="1" x14ac:dyDescent="0.25"/>
    <row r="2681" ht="15.75" customHeight="1" x14ac:dyDescent="0.25"/>
    <row r="2682" ht="15.75" customHeight="1" x14ac:dyDescent="0.25"/>
    <row r="2683" ht="15.75" customHeight="1" x14ac:dyDescent="0.25"/>
    <row r="2684" ht="15.75" customHeight="1" x14ac:dyDescent="0.25"/>
    <row r="2685" ht="15.75" customHeight="1" x14ac:dyDescent="0.25"/>
    <row r="2686" ht="15.75" customHeight="1" x14ac:dyDescent="0.25"/>
    <row r="2687" ht="15.75" customHeight="1" x14ac:dyDescent="0.25"/>
    <row r="2688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ht="15.75" customHeight="1" x14ac:dyDescent="0.25"/>
    <row r="2706" ht="15.75" customHeight="1" x14ac:dyDescent="0.25"/>
    <row r="2707" ht="15.75" customHeight="1" x14ac:dyDescent="0.25"/>
    <row r="2708" ht="15.75" customHeight="1" x14ac:dyDescent="0.25"/>
    <row r="2709" ht="15.75" customHeight="1" x14ac:dyDescent="0.25"/>
    <row r="2710" ht="15.75" customHeight="1" x14ac:dyDescent="0.25"/>
    <row r="2711" ht="15.75" customHeight="1" x14ac:dyDescent="0.25"/>
    <row r="2712" ht="15.75" customHeight="1" x14ac:dyDescent="0.25"/>
    <row r="2713" ht="15.75" customHeight="1" x14ac:dyDescent="0.25"/>
    <row r="2714" ht="15.75" customHeight="1" x14ac:dyDescent="0.25"/>
    <row r="2715" ht="15.75" customHeight="1" x14ac:dyDescent="0.25"/>
    <row r="2716" ht="15.75" customHeight="1" x14ac:dyDescent="0.25"/>
    <row r="2717" ht="15.75" customHeight="1" x14ac:dyDescent="0.25"/>
    <row r="2718" ht="15.75" customHeight="1" x14ac:dyDescent="0.25"/>
    <row r="2719" ht="15.75" customHeight="1" x14ac:dyDescent="0.25"/>
    <row r="2720" ht="15.75" customHeight="1" x14ac:dyDescent="0.25"/>
    <row r="2721" ht="15.75" customHeight="1" x14ac:dyDescent="0.25"/>
    <row r="2722" ht="15.75" customHeight="1" x14ac:dyDescent="0.25"/>
    <row r="2723" ht="15.75" customHeight="1" x14ac:dyDescent="0.25"/>
    <row r="2724" ht="15.75" customHeight="1" x14ac:dyDescent="0.25"/>
    <row r="2725" ht="15.75" customHeight="1" x14ac:dyDescent="0.25"/>
    <row r="2726" ht="15.75" customHeight="1" x14ac:dyDescent="0.25"/>
    <row r="2727" ht="15.75" customHeight="1" x14ac:dyDescent="0.25"/>
    <row r="2728" ht="15.75" customHeight="1" x14ac:dyDescent="0.25"/>
    <row r="2729" ht="15.75" customHeight="1" x14ac:dyDescent="0.25"/>
    <row r="2730" ht="15.75" customHeight="1" x14ac:dyDescent="0.25"/>
    <row r="2731" ht="15.75" customHeight="1" x14ac:dyDescent="0.25"/>
    <row r="2732" ht="15.75" customHeight="1" x14ac:dyDescent="0.25"/>
    <row r="2733" ht="15.75" customHeight="1" x14ac:dyDescent="0.25"/>
    <row r="2734" ht="15.75" customHeight="1" x14ac:dyDescent="0.25"/>
    <row r="2735" ht="15.75" customHeight="1" x14ac:dyDescent="0.25"/>
    <row r="2736" ht="15.75" customHeight="1" x14ac:dyDescent="0.25"/>
    <row r="2737" ht="15.75" customHeight="1" x14ac:dyDescent="0.25"/>
    <row r="2738" ht="15.75" customHeight="1" x14ac:dyDescent="0.25"/>
    <row r="2739" ht="15.75" customHeight="1" x14ac:dyDescent="0.25"/>
    <row r="2740" ht="15.75" customHeight="1" x14ac:dyDescent="0.25"/>
    <row r="2741" ht="15.75" customHeight="1" x14ac:dyDescent="0.25"/>
    <row r="2742" ht="15.75" customHeight="1" x14ac:dyDescent="0.25"/>
    <row r="2743" ht="15.75" customHeight="1" x14ac:dyDescent="0.25"/>
    <row r="2744" ht="15.75" customHeight="1" x14ac:dyDescent="0.25"/>
    <row r="2745" ht="15.75" customHeight="1" x14ac:dyDescent="0.25"/>
    <row r="2746" ht="15.75" customHeight="1" x14ac:dyDescent="0.25"/>
    <row r="2747" ht="15.75" customHeight="1" x14ac:dyDescent="0.25"/>
    <row r="2748" ht="15.75" customHeight="1" x14ac:dyDescent="0.25"/>
    <row r="2749" ht="15.75" customHeight="1" x14ac:dyDescent="0.25"/>
    <row r="2750" ht="15.75" customHeight="1" x14ac:dyDescent="0.25"/>
    <row r="2751" ht="15.75" customHeight="1" x14ac:dyDescent="0.25"/>
    <row r="2752" ht="15.75" customHeight="1" x14ac:dyDescent="0.25"/>
    <row r="2753" ht="15.75" customHeight="1" x14ac:dyDescent="0.25"/>
    <row r="2754" ht="15.75" customHeight="1" x14ac:dyDescent="0.25"/>
    <row r="2755" ht="15.75" customHeight="1" x14ac:dyDescent="0.25"/>
    <row r="2756" ht="15.75" customHeight="1" x14ac:dyDescent="0.25"/>
    <row r="2757" ht="15.75" customHeight="1" x14ac:dyDescent="0.25"/>
    <row r="2758" ht="15.75" customHeight="1" x14ac:dyDescent="0.25"/>
    <row r="2759" ht="15.75" customHeight="1" x14ac:dyDescent="0.25"/>
    <row r="2760" ht="15.75" customHeight="1" x14ac:dyDescent="0.25"/>
    <row r="2761" ht="15.75" customHeight="1" x14ac:dyDescent="0.25"/>
    <row r="2762" ht="15.75" customHeight="1" x14ac:dyDescent="0.25"/>
    <row r="2763" ht="15.75" customHeight="1" x14ac:dyDescent="0.25"/>
    <row r="2764" ht="15.75" customHeight="1" x14ac:dyDescent="0.25"/>
    <row r="2765" ht="15.75" customHeight="1" x14ac:dyDescent="0.25"/>
    <row r="2766" ht="15.75" customHeight="1" x14ac:dyDescent="0.25"/>
    <row r="2767" ht="15.75" customHeight="1" x14ac:dyDescent="0.25"/>
    <row r="2768" ht="15.75" customHeight="1" x14ac:dyDescent="0.25"/>
    <row r="2769" ht="15.75" customHeight="1" x14ac:dyDescent="0.25"/>
    <row r="2770" ht="15.75" customHeight="1" x14ac:dyDescent="0.25"/>
    <row r="2771" ht="15.75" customHeight="1" x14ac:dyDescent="0.25"/>
    <row r="2772" ht="15.75" customHeight="1" x14ac:dyDescent="0.25"/>
    <row r="2773" ht="15.75" customHeight="1" x14ac:dyDescent="0.25"/>
    <row r="2774" ht="15.75" customHeight="1" x14ac:dyDescent="0.25"/>
    <row r="2775" ht="15.75" customHeight="1" x14ac:dyDescent="0.25"/>
    <row r="2776" ht="15.75" customHeight="1" x14ac:dyDescent="0.25"/>
    <row r="2777" ht="15.75" customHeight="1" x14ac:dyDescent="0.25"/>
    <row r="2778" ht="15.75" customHeight="1" x14ac:dyDescent="0.25"/>
    <row r="2779" ht="15.75" customHeight="1" x14ac:dyDescent="0.25"/>
    <row r="2780" ht="15.75" customHeight="1" x14ac:dyDescent="0.25"/>
    <row r="2781" ht="15.75" customHeight="1" x14ac:dyDescent="0.25"/>
    <row r="2782" ht="15.75" customHeight="1" x14ac:dyDescent="0.25"/>
    <row r="2783" ht="15.75" customHeight="1" x14ac:dyDescent="0.25"/>
    <row r="2784" ht="15.75" customHeight="1" x14ac:dyDescent="0.25"/>
    <row r="2785" ht="15.75" customHeight="1" x14ac:dyDescent="0.25"/>
    <row r="2786" ht="15.75" customHeight="1" x14ac:dyDescent="0.25"/>
    <row r="2787" ht="15.75" customHeight="1" x14ac:dyDescent="0.25"/>
    <row r="2788" ht="15.75" customHeight="1" x14ac:dyDescent="0.25"/>
    <row r="2789" ht="15.75" customHeight="1" x14ac:dyDescent="0.25"/>
    <row r="2790" ht="15.75" customHeight="1" x14ac:dyDescent="0.25"/>
    <row r="2791" ht="15.75" customHeight="1" x14ac:dyDescent="0.25"/>
    <row r="2792" ht="15.75" customHeight="1" x14ac:dyDescent="0.25"/>
    <row r="2793" ht="15.75" customHeight="1" x14ac:dyDescent="0.25"/>
    <row r="2794" ht="15.75" customHeight="1" x14ac:dyDescent="0.25"/>
    <row r="2795" ht="15.75" customHeight="1" x14ac:dyDescent="0.25"/>
    <row r="2796" ht="15.75" customHeight="1" x14ac:dyDescent="0.25"/>
    <row r="2797" ht="15.75" customHeight="1" x14ac:dyDescent="0.25"/>
    <row r="2798" ht="15.75" customHeight="1" x14ac:dyDescent="0.25"/>
    <row r="2799" ht="15.75" customHeight="1" x14ac:dyDescent="0.25"/>
    <row r="2800" ht="15.75" customHeight="1" x14ac:dyDescent="0.25"/>
    <row r="2801" ht="15.75" customHeight="1" x14ac:dyDescent="0.25"/>
    <row r="2802" ht="15.75" customHeight="1" x14ac:dyDescent="0.25"/>
    <row r="2803" ht="15.75" customHeight="1" x14ac:dyDescent="0.25"/>
    <row r="2804" ht="15.75" customHeight="1" x14ac:dyDescent="0.25"/>
    <row r="2805" ht="15.75" customHeight="1" x14ac:dyDescent="0.25"/>
    <row r="2806" ht="15.75" customHeight="1" x14ac:dyDescent="0.25"/>
    <row r="2807" ht="15.75" customHeight="1" x14ac:dyDescent="0.25"/>
    <row r="2808" ht="15.75" customHeight="1" x14ac:dyDescent="0.25"/>
    <row r="2809" ht="15.75" customHeight="1" x14ac:dyDescent="0.25"/>
    <row r="2810" ht="15.75" customHeight="1" x14ac:dyDescent="0.25"/>
    <row r="2811" ht="15.75" customHeight="1" x14ac:dyDescent="0.25"/>
    <row r="2812" ht="15.75" customHeight="1" x14ac:dyDescent="0.25"/>
    <row r="2813" ht="15.75" customHeight="1" x14ac:dyDescent="0.25"/>
    <row r="2814" ht="15.75" customHeight="1" x14ac:dyDescent="0.25"/>
    <row r="2815" ht="15.75" customHeight="1" x14ac:dyDescent="0.25"/>
    <row r="2816" ht="15.75" customHeight="1" x14ac:dyDescent="0.25"/>
    <row r="2817" ht="15.75" customHeight="1" x14ac:dyDescent="0.25"/>
    <row r="2818" ht="15.75" customHeight="1" x14ac:dyDescent="0.25"/>
    <row r="2819" ht="15.75" customHeight="1" x14ac:dyDescent="0.25"/>
    <row r="2820" ht="15.75" customHeight="1" x14ac:dyDescent="0.25"/>
    <row r="2821" ht="15.75" customHeight="1" x14ac:dyDescent="0.25"/>
    <row r="2822" ht="15.75" customHeight="1" x14ac:dyDescent="0.25"/>
    <row r="2823" ht="15.75" customHeight="1" x14ac:dyDescent="0.25"/>
    <row r="2824" ht="15.75" customHeight="1" x14ac:dyDescent="0.25"/>
    <row r="2825" ht="15.75" customHeight="1" x14ac:dyDescent="0.25"/>
    <row r="2826" ht="15.75" customHeight="1" x14ac:dyDescent="0.25"/>
    <row r="2827" ht="15.75" customHeight="1" x14ac:dyDescent="0.25"/>
    <row r="2828" ht="15.75" customHeight="1" x14ac:dyDescent="0.25"/>
    <row r="2829" ht="15.75" customHeight="1" x14ac:dyDescent="0.25"/>
    <row r="2830" ht="15.75" customHeight="1" x14ac:dyDescent="0.25"/>
    <row r="2831" ht="15.75" customHeight="1" x14ac:dyDescent="0.25"/>
    <row r="2832" ht="15.75" customHeight="1" x14ac:dyDescent="0.25"/>
    <row r="2833" ht="15.75" customHeight="1" x14ac:dyDescent="0.25"/>
    <row r="2834" ht="15.75" customHeight="1" x14ac:dyDescent="0.25"/>
    <row r="2835" ht="15.75" customHeight="1" x14ac:dyDescent="0.25"/>
    <row r="2836" ht="15.75" customHeight="1" x14ac:dyDescent="0.25"/>
    <row r="2837" ht="15.75" customHeight="1" x14ac:dyDescent="0.25"/>
    <row r="2838" ht="15.75" customHeight="1" x14ac:dyDescent="0.25"/>
    <row r="2839" ht="15.75" customHeight="1" x14ac:dyDescent="0.25"/>
    <row r="2840" ht="15.75" customHeight="1" x14ac:dyDescent="0.25"/>
    <row r="2841" ht="15.75" customHeight="1" x14ac:dyDescent="0.25"/>
    <row r="2842" ht="15.75" customHeight="1" x14ac:dyDescent="0.25"/>
    <row r="2843" ht="15.75" customHeight="1" x14ac:dyDescent="0.25"/>
    <row r="2844" ht="15.75" customHeight="1" x14ac:dyDescent="0.25"/>
    <row r="2845" ht="15.75" customHeight="1" x14ac:dyDescent="0.25"/>
    <row r="2846" ht="15.75" customHeight="1" x14ac:dyDescent="0.25"/>
    <row r="2847" ht="15.75" customHeight="1" x14ac:dyDescent="0.25"/>
    <row r="2848" ht="15.75" customHeight="1" x14ac:dyDescent="0.25"/>
    <row r="2849" ht="15.75" customHeight="1" x14ac:dyDescent="0.25"/>
    <row r="2850" ht="15.75" customHeight="1" x14ac:dyDescent="0.25"/>
    <row r="2851" ht="15.75" customHeight="1" x14ac:dyDescent="0.25"/>
    <row r="2852" ht="15.75" customHeight="1" x14ac:dyDescent="0.25"/>
    <row r="2853" ht="15.75" customHeight="1" x14ac:dyDescent="0.25"/>
    <row r="2854" ht="15.75" customHeight="1" x14ac:dyDescent="0.25"/>
    <row r="2855" ht="15.75" customHeight="1" x14ac:dyDescent="0.25"/>
    <row r="2856" ht="15.75" customHeight="1" x14ac:dyDescent="0.25"/>
    <row r="2857" ht="15.75" customHeight="1" x14ac:dyDescent="0.25"/>
    <row r="2858" ht="15.75" customHeight="1" x14ac:dyDescent="0.25"/>
    <row r="2859" ht="15.75" customHeight="1" x14ac:dyDescent="0.25"/>
    <row r="2860" ht="15.75" customHeight="1" x14ac:dyDescent="0.25"/>
    <row r="2861" ht="15.75" customHeight="1" x14ac:dyDescent="0.25"/>
    <row r="2862" ht="15.75" customHeight="1" x14ac:dyDescent="0.25"/>
    <row r="2863" ht="15.75" customHeight="1" x14ac:dyDescent="0.25"/>
    <row r="2864" ht="15.75" customHeight="1" x14ac:dyDescent="0.25"/>
    <row r="2865" ht="15.75" customHeight="1" x14ac:dyDescent="0.25"/>
    <row r="2866" ht="15.75" customHeight="1" x14ac:dyDescent="0.25"/>
    <row r="2867" ht="15.75" customHeight="1" x14ac:dyDescent="0.25"/>
    <row r="2868" ht="15.75" customHeight="1" x14ac:dyDescent="0.25"/>
    <row r="2869" ht="15.75" customHeight="1" x14ac:dyDescent="0.25"/>
    <row r="2870" ht="15.75" customHeight="1" x14ac:dyDescent="0.25"/>
    <row r="2871" ht="15.75" customHeight="1" x14ac:dyDescent="0.25"/>
    <row r="2872" ht="15.75" customHeight="1" x14ac:dyDescent="0.25"/>
    <row r="2873" ht="15.75" customHeight="1" x14ac:dyDescent="0.25"/>
    <row r="2874" ht="15.75" customHeight="1" x14ac:dyDescent="0.25"/>
    <row r="2875" ht="15.75" customHeight="1" x14ac:dyDescent="0.25"/>
    <row r="2876" ht="15.75" customHeight="1" x14ac:dyDescent="0.25"/>
    <row r="2877" ht="15.75" customHeight="1" x14ac:dyDescent="0.25"/>
    <row r="2878" ht="15.75" customHeight="1" x14ac:dyDescent="0.25"/>
    <row r="2879" ht="15.75" customHeight="1" x14ac:dyDescent="0.25"/>
    <row r="2880" ht="15.75" customHeight="1" x14ac:dyDescent="0.25"/>
    <row r="2881" ht="15.75" customHeight="1" x14ac:dyDescent="0.25"/>
    <row r="2882" ht="15.75" customHeight="1" x14ac:dyDescent="0.25"/>
    <row r="2883" ht="15.75" customHeight="1" x14ac:dyDescent="0.25"/>
    <row r="2884" ht="15.75" customHeight="1" x14ac:dyDescent="0.25"/>
    <row r="2885" ht="15.75" customHeight="1" x14ac:dyDescent="0.25"/>
    <row r="2886" ht="15.75" customHeight="1" x14ac:dyDescent="0.25"/>
    <row r="2887" ht="15.75" customHeight="1" x14ac:dyDescent="0.25"/>
    <row r="2888" ht="15.75" customHeight="1" x14ac:dyDescent="0.25"/>
    <row r="2889" ht="15.75" customHeight="1" x14ac:dyDescent="0.25"/>
    <row r="2890" ht="15.75" customHeight="1" x14ac:dyDescent="0.25"/>
    <row r="2891" ht="15.75" customHeight="1" x14ac:dyDescent="0.25"/>
    <row r="2892" ht="15.75" customHeight="1" x14ac:dyDescent="0.25"/>
    <row r="2893" ht="15.75" customHeight="1" x14ac:dyDescent="0.25"/>
    <row r="2894" ht="15.75" customHeight="1" x14ac:dyDescent="0.25"/>
    <row r="2895" ht="15.75" customHeight="1" x14ac:dyDescent="0.25"/>
    <row r="2896" ht="15.75" customHeight="1" x14ac:dyDescent="0.25"/>
    <row r="2897" ht="15.75" customHeight="1" x14ac:dyDescent="0.25"/>
    <row r="2898" ht="15.75" customHeight="1" x14ac:dyDescent="0.25"/>
    <row r="2899" ht="15.75" customHeight="1" x14ac:dyDescent="0.25"/>
    <row r="2900" ht="15.75" customHeight="1" x14ac:dyDescent="0.25"/>
    <row r="2901" ht="15.75" customHeight="1" x14ac:dyDescent="0.25"/>
    <row r="2902" ht="15.75" customHeight="1" x14ac:dyDescent="0.25"/>
    <row r="2903" ht="15.75" customHeight="1" x14ac:dyDescent="0.25"/>
    <row r="2904" ht="15.75" customHeight="1" x14ac:dyDescent="0.25"/>
    <row r="2905" ht="15.75" customHeight="1" x14ac:dyDescent="0.25"/>
    <row r="2906" ht="15.75" customHeight="1" x14ac:dyDescent="0.25"/>
    <row r="2907" ht="15.75" customHeight="1" x14ac:dyDescent="0.25"/>
    <row r="2908" ht="15.75" customHeight="1" x14ac:dyDescent="0.25"/>
    <row r="2909" ht="15.75" customHeight="1" x14ac:dyDescent="0.25"/>
    <row r="2910" ht="15.75" customHeight="1" x14ac:dyDescent="0.25"/>
    <row r="2911" ht="15.75" customHeight="1" x14ac:dyDescent="0.25"/>
    <row r="2912" ht="15.75" customHeight="1" x14ac:dyDescent="0.25"/>
    <row r="2913" ht="15.75" customHeight="1" x14ac:dyDescent="0.25"/>
    <row r="2914" ht="15.75" customHeight="1" x14ac:dyDescent="0.25"/>
    <row r="2915" ht="15.75" customHeight="1" x14ac:dyDescent="0.25"/>
    <row r="2916" ht="15.75" customHeight="1" x14ac:dyDescent="0.25"/>
    <row r="2917" ht="15.75" customHeight="1" x14ac:dyDescent="0.25"/>
    <row r="2918" ht="15.75" customHeight="1" x14ac:dyDescent="0.25"/>
    <row r="2919" ht="15.75" customHeight="1" x14ac:dyDescent="0.25"/>
    <row r="2920" ht="15.75" customHeight="1" x14ac:dyDescent="0.25"/>
    <row r="2921" ht="15.75" customHeight="1" x14ac:dyDescent="0.25"/>
    <row r="2922" ht="15.75" customHeight="1" x14ac:dyDescent="0.25"/>
    <row r="2923" ht="15.75" customHeight="1" x14ac:dyDescent="0.25"/>
    <row r="2924" ht="15.75" customHeight="1" x14ac:dyDescent="0.25"/>
    <row r="2925" ht="15.75" customHeight="1" x14ac:dyDescent="0.25"/>
    <row r="2926" ht="15.75" customHeight="1" x14ac:dyDescent="0.25"/>
    <row r="2927" ht="15.75" customHeight="1" x14ac:dyDescent="0.25"/>
    <row r="2928" ht="15.75" customHeight="1" x14ac:dyDescent="0.25"/>
    <row r="2929" ht="15.75" customHeight="1" x14ac:dyDescent="0.25"/>
    <row r="2930" ht="15.75" customHeight="1" x14ac:dyDescent="0.25"/>
    <row r="2931" ht="15.75" customHeight="1" x14ac:dyDescent="0.25"/>
    <row r="2932" ht="15.75" customHeight="1" x14ac:dyDescent="0.25"/>
    <row r="2933" ht="15.75" customHeight="1" x14ac:dyDescent="0.25"/>
    <row r="2934" ht="15.75" customHeight="1" x14ac:dyDescent="0.25"/>
    <row r="2935" ht="15.75" customHeight="1" x14ac:dyDescent="0.25"/>
    <row r="2936" ht="15.75" customHeight="1" x14ac:dyDescent="0.25"/>
    <row r="2937" ht="15.75" customHeight="1" x14ac:dyDescent="0.25"/>
    <row r="2938" ht="15.75" customHeight="1" x14ac:dyDescent="0.25"/>
    <row r="2939" ht="15.75" customHeight="1" x14ac:dyDescent="0.25"/>
    <row r="2940" ht="15.75" customHeight="1" x14ac:dyDescent="0.25"/>
    <row r="2941" ht="15.75" customHeight="1" x14ac:dyDescent="0.25"/>
    <row r="2942" ht="15.75" customHeight="1" x14ac:dyDescent="0.25"/>
    <row r="2943" ht="15.75" customHeight="1" x14ac:dyDescent="0.25"/>
    <row r="2944" ht="15.75" customHeight="1" x14ac:dyDescent="0.25"/>
    <row r="2945" ht="15.75" customHeight="1" x14ac:dyDescent="0.25"/>
    <row r="2946" ht="15.75" customHeight="1" x14ac:dyDescent="0.25"/>
    <row r="2947" ht="15.75" customHeight="1" x14ac:dyDescent="0.25"/>
    <row r="2948" ht="15.75" customHeight="1" x14ac:dyDescent="0.25"/>
    <row r="2949" ht="15.75" customHeight="1" x14ac:dyDescent="0.25"/>
    <row r="2950" ht="15.75" customHeight="1" x14ac:dyDescent="0.25"/>
    <row r="2951" ht="15.75" customHeight="1" x14ac:dyDescent="0.25"/>
    <row r="2952" ht="15.75" customHeight="1" x14ac:dyDescent="0.25"/>
    <row r="2953" ht="15.75" customHeight="1" x14ac:dyDescent="0.25"/>
    <row r="2954" ht="15.75" customHeight="1" x14ac:dyDescent="0.25"/>
    <row r="2955" ht="15.75" customHeight="1" x14ac:dyDescent="0.25"/>
    <row r="2956" ht="15.75" customHeight="1" x14ac:dyDescent="0.25"/>
    <row r="2957" ht="15.75" customHeight="1" x14ac:dyDescent="0.25"/>
    <row r="2958" ht="15.75" customHeight="1" x14ac:dyDescent="0.25"/>
    <row r="2959" ht="15.75" customHeight="1" x14ac:dyDescent="0.25"/>
    <row r="2960" ht="15.75" customHeight="1" x14ac:dyDescent="0.25"/>
    <row r="2961" ht="15.75" customHeight="1" x14ac:dyDescent="0.25"/>
    <row r="2962" ht="15.75" customHeight="1" x14ac:dyDescent="0.25"/>
    <row r="2963" ht="15.75" customHeight="1" x14ac:dyDescent="0.25"/>
    <row r="2964" ht="15.75" customHeight="1" x14ac:dyDescent="0.25"/>
    <row r="2965" ht="15.75" customHeight="1" x14ac:dyDescent="0.25"/>
    <row r="2966" ht="15.75" customHeight="1" x14ac:dyDescent="0.25"/>
    <row r="2967" ht="15.75" customHeight="1" x14ac:dyDescent="0.25"/>
    <row r="2968" ht="15.75" customHeight="1" x14ac:dyDescent="0.25"/>
    <row r="2969" ht="15.75" customHeight="1" x14ac:dyDescent="0.25"/>
    <row r="2970" ht="15.75" customHeight="1" x14ac:dyDescent="0.25"/>
    <row r="2971" ht="15.75" customHeight="1" x14ac:dyDescent="0.25"/>
    <row r="2972" ht="15.75" customHeight="1" x14ac:dyDescent="0.25"/>
    <row r="2973" ht="15.75" customHeight="1" x14ac:dyDescent="0.25"/>
    <row r="2974" ht="15.75" customHeight="1" x14ac:dyDescent="0.25"/>
    <row r="2975" ht="15.75" customHeight="1" x14ac:dyDescent="0.25"/>
    <row r="2976" ht="15.75" customHeight="1" x14ac:dyDescent="0.25"/>
    <row r="2977" ht="15.75" customHeight="1" x14ac:dyDescent="0.25"/>
    <row r="2978" ht="15.75" customHeight="1" x14ac:dyDescent="0.25"/>
    <row r="2979" ht="15.75" customHeight="1" x14ac:dyDescent="0.25"/>
    <row r="2980" ht="15.75" customHeight="1" x14ac:dyDescent="0.25"/>
    <row r="2981" ht="15.75" customHeight="1" x14ac:dyDescent="0.25"/>
    <row r="2982" ht="15.75" customHeight="1" x14ac:dyDescent="0.25"/>
    <row r="2983" ht="15.75" customHeight="1" x14ac:dyDescent="0.25"/>
    <row r="2984" ht="15.75" customHeight="1" x14ac:dyDescent="0.25"/>
    <row r="2985" ht="15.75" customHeight="1" x14ac:dyDescent="0.25"/>
    <row r="2986" ht="15.75" customHeight="1" x14ac:dyDescent="0.25"/>
    <row r="2987" ht="15.75" customHeight="1" x14ac:dyDescent="0.25"/>
    <row r="2988" ht="15.75" customHeight="1" x14ac:dyDescent="0.25"/>
    <row r="2989" ht="15.75" customHeight="1" x14ac:dyDescent="0.25"/>
    <row r="2990" ht="15.75" customHeight="1" x14ac:dyDescent="0.25"/>
    <row r="2991" ht="15.75" customHeight="1" x14ac:dyDescent="0.25"/>
    <row r="2992" ht="15.75" customHeight="1" x14ac:dyDescent="0.25"/>
    <row r="2993" ht="15.75" customHeight="1" x14ac:dyDescent="0.25"/>
    <row r="2994" ht="15.75" customHeight="1" x14ac:dyDescent="0.25"/>
    <row r="2995" ht="15.75" customHeight="1" x14ac:dyDescent="0.25"/>
    <row r="2996" ht="15.75" customHeight="1" x14ac:dyDescent="0.25"/>
    <row r="2997" ht="15.75" customHeight="1" x14ac:dyDescent="0.25"/>
    <row r="2998" ht="15.75" customHeight="1" x14ac:dyDescent="0.25"/>
    <row r="2999" ht="15.75" customHeight="1" x14ac:dyDescent="0.25"/>
    <row r="3000" ht="15.75" customHeight="1" x14ac:dyDescent="0.25"/>
    <row r="3001" ht="15.75" customHeight="1" x14ac:dyDescent="0.25"/>
    <row r="3002" ht="15.75" customHeight="1" x14ac:dyDescent="0.25"/>
    <row r="3003" ht="15.75" customHeight="1" x14ac:dyDescent="0.25"/>
    <row r="3004" ht="15.75" customHeight="1" x14ac:dyDescent="0.25"/>
    <row r="3005" ht="15.75" customHeight="1" x14ac:dyDescent="0.25"/>
    <row r="3006" ht="15.75" customHeight="1" x14ac:dyDescent="0.25"/>
    <row r="3007" ht="15.75" customHeight="1" x14ac:dyDescent="0.25"/>
    <row r="3008" ht="15.75" customHeight="1" x14ac:dyDescent="0.25"/>
    <row r="3009" ht="15.75" customHeight="1" x14ac:dyDescent="0.25"/>
    <row r="3010" ht="15.75" customHeight="1" x14ac:dyDescent="0.25"/>
    <row r="3011" ht="15.75" customHeight="1" x14ac:dyDescent="0.25"/>
    <row r="3012" ht="15.75" customHeight="1" x14ac:dyDescent="0.25"/>
    <row r="3013" ht="15.75" customHeight="1" x14ac:dyDescent="0.25"/>
    <row r="3014" ht="15.75" customHeight="1" x14ac:dyDescent="0.25"/>
    <row r="3015" ht="15.75" customHeight="1" x14ac:dyDescent="0.25"/>
    <row r="3016" ht="15.75" customHeight="1" x14ac:dyDescent="0.25"/>
    <row r="3017" ht="15.75" customHeight="1" x14ac:dyDescent="0.25"/>
    <row r="3018" ht="15.75" customHeight="1" x14ac:dyDescent="0.25"/>
    <row r="3019" ht="15.75" customHeight="1" x14ac:dyDescent="0.25"/>
    <row r="3020" ht="15.75" customHeight="1" x14ac:dyDescent="0.25"/>
    <row r="3021" ht="15.75" customHeight="1" x14ac:dyDescent="0.25"/>
    <row r="3022" ht="15.75" customHeight="1" x14ac:dyDescent="0.25"/>
    <row r="3023" ht="15.75" customHeight="1" x14ac:dyDescent="0.25"/>
    <row r="3024" ht="15.75" customHeight="1" x14ac:dyDescent="0.25"/>
    <row r="3025" ht="15.75" customHeight="1" x14ac:dyDescent="0.25"/>
    <row r="3026" ht="15.75" customHeight="1" x14ac:dyDescent="0.25"/>
    <row r="3027" ht="15.75" customHeight="1" x14ac:dyDescent="0.25"/>
    <row r="3028" ht="15.75" customHeight="1" x14ac:dyDescent="0.25"/>
    <row r="3029" ht="15.75" customHeight="1" x14ac:dyDescent="0.25"/>
    <row r="3030" ht="15.75" customHeight="1" x14ac:dyDescent="0.25"/>
    <row r="3031" ht="15.75" customHeight="1" x14ac:dyDescent="0.25"/>
    <row r="3032" ht="15.75" customHeight="1" x14ac:dyDescent="0.25"/>
    <row r="3033" ht="15.75" customHeight="1" x14ac:dyDescent="0.25"/>
    <row r="3034" ht="15.75" customHeight="1" x14ac:dyDescent="0.25"/>
    <row r="3035" ht="15.75" customHeight="1" x14ac:dyDescent="0.25"/>
    <row r="3036" ht="15.75" customHeight="1" x14ac:dyDescent="0.25"/>
    <row r="3037" ht="15.75" customHeight="1" x14ac:dyDescent="0.25"/>
    <row r="3038" ht="15.75" customHeight="1" x14ac:dyDescent="0.25"/>
    <row r="3039" ht="15.75" customHeight="1" x14ac:dyDescent="0.25"/>
    <row r="3040" ht="15.75" customHeight="1" x14ac:dyDescent="0.25"/>
    <row r="3041" ht="15.75" customHeight="1" x14ac:dyDescent="0.25"/>
    <row r="3042" ht="15.75" customHeight="1" x14ac:dyDescent="0.25"/>
    <row r="3043" ht="15.75" customHeight="1" x14ac:dyDescent="0.25"/>
    <row r="3044" ht="15.75" customHeight="1" x14ac:dyDescent="0.25"/>
    <row r="3045" ht="15.75" customHeight="1" x14ac:dyDescent="0.25"/>
    <row r="3046" ht="15.75" customHeight="1" x14ac:dyDescent="0.25"/>
    <row r="3047" ht="15.75" customHeight="1" x14ac:dyDescent="0.25"/>
    <row r="3048" ht="15.75" customHeight="1" x14ac:dyDescent="0.25"/>
    <row r="3049" ht="15.75" customHeight="1" x14ac:dyDescent="0.25"/>
    <row r="3050" ht="15.75" customHeight="1" x14ac:dyDescent="0.25"/>
    <row r="3051" ht="15.75" customHeight="1" x14ac:dyDescent="0.25"/>
    <row r="3052" ht="15.75" customHeight="1" x14ac:dyDescent="0.25"/>
    <row r="3053" ht="15.75" customHeight="1" x14ac:dyDescent="0.25"/>
    <row r="3054" ht="15.75" customHeight="1" x14ac:dyDescent="0.25"/>
    <row r="3055" ht="15.75" customHeight="1" x14ac:dyDescent="0.25"/>
    <row r="3056" ht="15.75" customHeight="1" x14ac:dyDescent="0.25"/>
    <row r="3057" ht="15.75" customHeight="1" x14ac:dyDescent="0.25"/>
    <row r="3058" ht="15.75" customHeight="1" x14ac:dyDescent="0.25"/>
    <row r="3059" ht="15.75" customHeight="1" x14ac:dyDescent="0.25"/>
    <row r="3060" ht="15.75" customHeight="1" x14ac:dyDescent="0.25"/>
    <row r="3061" ht="15.75" customHeight="1" x14ac:dyDescent="0.25"/>
    <row r="3062" ht="15.75" customHeight="1" x14ac:dyDescent="0.25"/>
    <row r="3063" ht="15.75" customHeight="1" x14ac:dyDescent="0.25"/>
    <row r="3064" ht="15.75" customHeight="1" x14ac:dyDescent="0.25"/>
    <row r="3065" ht="15.75" customHeight="1" x14ac:dyDescent="0.25"/>
    <row r="3066" ht="15.75" customHeight="1" x14ac:dyDescent="0.25"/>
    <row r="3067" ht="15.75" customHeight="1" x14ac:dyDescent="0.25"/>
    <row r="3068" ht="15.75" customHeight="1" x14ac:dyDescent="0.25"/>
    <row r="3069" ht="15.75" customHeight="1" x14ac:dyDescent="0.25"/>
    <row r="3070" ht="15.75" customHeight="1" x14ac:dyDescent="0.25"/>
    <row r="3071" ht="15.75" customHeight="1" x14ac:dyDescent="0.25"/>
    <row r="3072" ht="15.75" customHeight="1" x14ac:dyDescent="0.25"/>
    <row r="3073" ht="15.75" customHeight="1" x14ac:dyDescent="0.25"/>
    <row r="3074" ht="15.75" customHeight="1" x14ac:dyDescent="0.25"/>
    <row r="3075" ht="15.75" customHeight="1" x14ac:dyDescent="0.25"/>
    <row r="3076" ht="15.75" customHeight="1" x14ac:dyDescent="0.25"/>
    <row r="3077" ht="15.75" customHeight="1" x14ac:dyDescent="0.25"/>
    <row r="3078" ht="15.75" customHeight="1" x14ac:dyDescent="0.25"/>
    <row r="3079" ht="15.75" customHeight="1" x14ac:dyDescent="0.25"/>
    <row r="3080" ht="15.75" customHeight="1" x14ac:dyDescent="0.25"/>
    <row r="3081" ht="15.75" customHeight="1" x14ac:dyDescent="0.25"/>
    <row r="3082" ht="15.75" customHeight="1" x14ac:dyDescent="0.25"/>
    <row r="3083" ht="15.75" customHeight="1" x14ac:dyDescent="0.25"/>
    <row r="3084" ht="15.75" customHeight="1" x14ac:dyDescent="0.25"/>
    <row r="3085" ht="15.75" customHeight="1" x14ac:dyDescent="0.25"/>
    <row r="3086" ht="15.75" customHeight="1" x14ac:dyDescent="0.25"/>
    <row r="3087" ht="15.75" customHeight="1" x14ac:dyDescent="0.25"/>
    <row r="3088" ht="15.75" customHeight="1" x14ac:dyDescent="0.25"/>
    <row r="3089" ht="15.75" customHeight="1" x14ac:dyDescent="0.25"/>
    <row r="3090" ht="15.75" customHeight="1" x14ac:dyDescent="0.25"/>
    <row r="3091" ht="15.75" customHeight="1" x14ac:dyDescent="0.25"/>
    <row r="3092" ht="15.75" customHeight="1" x14ac:dyDescent="0.25"/>
    <row r="3093" ht="15.75" customHeight="1" x14ac:dyDescent="0.25"/>
    <row r="3094" ht="15.75" customHeight="1" x14ac:dyDescent="0.25"/>
    <row r="3095" ht="15.75" customHeight="1" x14ac:dyDescent="0.25"/>
    <row r="3096" ht="15.75" customHeight="1" x14ac:dyDescent="0.25"/>
    <row r="3097" ht="15.75" customHeight="1" x14ac:dyDescent="0.25"/>
    <row r="3098" ht="15.75" customHeight="1" x14ac:dyDescent="0.25"/>
    <row r="3099" ht="15.75" customHeight="1" x14ac:dyDescent="0.25"/>
    <row r="3100" ht="15.75" customHeight="1" x14ac:dyDescent="0.25"/>
    <row r="3101" ht="15.75" customHeight="1" x14ac:dyDescent="0.25"/>
    <row r="3102" ht="15.75" customHeight="1" x14ac:dyDescent="0.25"/>
    <row r="3103" ht="15.75" customHeight="1" x14ac:dyDescent="0.25"/>
    <row r="3104" ht="15.75" customHeight="1" x14ac:dyDescent="0.25"/>
    <row r="3105" ht="15.75" customHeight="1" x14ac:dyDescent="0.25"/>
    <row r="3106" ht="15.75" customHeight="1" x14ac:dyDescent="0.25"/>
    <row r="3107" ht="15.75" customHeight="1" x14ac:dyDescent="0.25"/>
    <row r="3108" ht="15.75" customHeight="1" x14ac:dyDescent="0.25"/>
    <row r="3109" ht="15.75" customHeight="1" x14ac:dyDescent="0.25"/>
    <row r="3110" ht="15.75" customHeight="1" x14ac:dyDescent="0.25"/>
    <row r="3111" ht="15.75" customHeight="1" x14ac:dyDescent="0.25"/>
    <row r="3112" ht="15.75" customHeight="1" x14ac:dyDescent="0.25"/>
    <row r="3113" ht="15.75" customHeight="1" x14ac:dyDescent="0.25"/>
    <row r="3114" ht="15.75" customHeight="1" x14ac:dyDescent="0.25"/>
    <row r="3115" ht="15.75" customHeight="1" x14ac:dyDescent="0.25"/>
    <row r="3116" ht="15.75" customHeight="1" x14ac:dyDescent="0.25"/>
    <row r="3117" ht="15.75" customHeight="1" x14ac:dyDescent="0.25"/>
    <row r="3118" ht="15.75" customHeight="1" x14ac:dyDescent="0.25"/>
    <row r="3119" ht="15.75" customHeight="1" x14ac:dyDescent="0.25"/>
    <row r="3120" ht="15.75" customHeight="1" x14ac:dyDescent="0.25"/>
    <row r="3121" ht="15.75" customHeight="1" x14ac:dyDescent="0.25"/>
    <row r="3122" ht="15.75" customHeight="1" x14ac:dyDescent="0.25"/>
    <row r="3123" ht="15.75" customHeight="1" x14ac:dyDescent="0.25"/>
    <row r="3124" ht="15.75" customHeight="1" x14ac:dyDescent="0.25"/>
    <row r="3125" ht="15.75" customHeight="1" x14ac:dyDescent="0.25"/>
    <row r="3126" ht="15.75" customHeight="1" x14ac:dyDescent="0.25"/>
    <row r="3127" ht="15.75" customHeight="1" x14ac:dyDescent="0.25"/>
    <row r="3128" ht="15.75" customHeight="1" x14ac:dyDescent="0.25"/>
    <row r="3129" ht="15.75" customHeight="1" x14ac:dyDescent="0.25"/>
    <row r="3130" ht="15.75" customHeight="1" x14ac:dyDescent="0.25"/>
    <row r="3131" ht="15.75" customHeight="1" x14ac:dyDescent="0.25"/>
    <row r="3132" ht="15.75" customHeight="1" x14ac:dyDescent="0.25"/>
    <row r="3133" ht="15.75" customHeight="1" x14ac:dyDescent="0.25"/>
    <row r="3134" ht="15.75" customHeight="1" x14ac:dyDescent="0.25"/>
    <row r="3135" ht="15.75" customHeight="1" x14ac:dyDescent="0.25"/>
    <row r="3136" ht="15.75" customHeight="1" x14ac:dyDescent="0.25"/>
    <row r="3137" ht="15.75" customHeight="1" x14ac:dyDescent="0.25"/>
    <row r="3138" ht="15.75" customHeight="1" x14ac:dyDescent="0.25"/>
    <row r="3139" ht="15.75" customHeight="1" x14ac:dyDescent="0.25"/>
    <row r="3140" ht="15.75" customHeight="1" x14ac:dyDescent="0.25"/>
    <row r="3141" ht="15.75" customHeight="1" x14ac:dyDescent="0.25"/>
    <row r="3142" ht="15.75" customHeight="1" x14ac:dyDescent="0.25"/>
    <row r="3143" ht="15.75" customHeight="1" x14ac:dyDescent="0.25"/>
    <row r="3144" ht="15.75" customHeight="1" x14ac:dyDescent="0.25"/>
    <row r="3145" ht="15.75" customHeight="1" x14ac:dyDescent="0.25"/>
    <row r="3146" ht="15.75" customHeight="1" x14ac:dyDescent="0.25"/>
    <row r="3147" ht="15.75" customHeight="1" x14ac:dyDescent="0.25"/>
    <row r="3148" ht="15.75" customHeight="1" x14ac:dyDescent="0.25"/>
    <row r="3149" ht="15.75" customHeight="1" x14ac:dyDescent="0.25"/>
    <row r="3150" ht="15.75" customHeight="1" x14ac:dyDescent="0.25"/>
    <row r="3151" ht="15.75" customHeight="1" x14ac:dyDescent="0.25"/>
    <row r="3152" ht="15.75" customHeight="1" x14ac:dyDescent="0.25"/>
    <row r="3153" ht="15.75" customHeight="1" x14ac:dyDescent="0.25"/>
    <row r="3154" ht="15.75" customHeight="1" x14ac:dyDescent="0.25"/>
    <row r="3155" ht="15.75" customHeight="1" x14ac:dyDescent="0.25"/>
    <row r="3156" ht="15.75" customHeight="1" x14ac:dyDescent="0.25"/>
    <row r="3157" ht="15.75" customHeight="1" x14ac:dyDescent="0.25"/>
    <row r="3158" ht="15.75" customHeight="1" x14ac:dyDescent="0.25"/>
    <row r="3159" ht="15.75" customHeight="1" x14ac:dyDescent="0.25"/>
    <row r="3160" ht="15.75" customHeight="1" x14ac:dyDescent="0.25"/>
    <row r="3161" ht="15.75" customHeight="1" x14ac:dyDescent="0.25"/>
    <row r="3162" ht="15.75" customHeight="1" x14ac:dyDescent="0.25"/>
    <row r="3163" ht="15.75" customHeight="1" x14ac:dyDescent="0.25"/>
    <row r="3164" ht="15.75" customHeight="1" x14ac:dyDescent="0.25"/>
    <row r="3165" ht="15.75" customHeight="1" x14ac:dyDescent="0.25"/>
    <row r="3166" ht="15.75" customHeight="1" x14ac:dyDescent="0.25"/>
    <row r="3167" ht="15.75" customHeight="1" x14ac:dyDescent="0.25"/>
    <row r="3168" ht="15.75" customHeight="1" x14ac:dyDescent="0.25"/>
    <row r="3169" ht="15.75" customHeight="1" x14ac:dyDescent="0.25"/>
    <row r="3170" ht="15.75" customHeight="1" x14ac:dyDescent="0.25"/>
    <row r="3171" ht="15.75" customHeight="1" x14ac:dyDescent="0.25"/>
    <row r="3172" ht="15.75" customHeight="1" x14ac:dyDescent="0.25"/>
    <row r="3173" ht="15.75" customHeight="1" x14ac:dyDescent="0.25"/>
    <row r="3174" ht="15.75" customHeight="1" x14ac:dyDescent="0.25"/>
    <row r="3175" ht="15.75" customHeight="1" x14ac:dyDescent="0.25"/>
    <row r="3176" ht="15.75" customHeight="1" x14ac:dyDescent="0.25"/>
    <row r="3177" ht="15.75" customHeight="1" x14ac:dyDescent="0.25"/>
    <row r="3178" ht="15.75" customHeight="1" x14ac:dyDescent="0.25"/>
    <row r="3179" ht="15.75" customHeight="1" x14ac:dyDescent="0.25"/>
    <row r="3180" ht="15.75" customHeight="1" x14ac:dyDescent="0.25"/>
    <row r="3181" ht="15.75" customHeight="1" x14ac:dyDescent="0.25"/>
    <row r="3182" ht="15.75" customHeight="1" x14ac:dyDescent="0.25"/>
    <row r="3183" ht="15.75" customHeight="1" x14ac:dyDescent="0.25"/>
    <row r="3184" ht="15.75" customHeight="1" x14ac:dyDescent="0.25"/>
    <row r="3185" ht="15.75" customHeight="1" x14ac:dyDescent="0.25"/>
    <row r="3186" ht="15.75" customHeight="1" x14ac:dyDescent="0.25"/>
    <row r="3187" ht="15.75" customHeight="1" x14ac:dyDescent="0.25"/>
    <row r="3188" ht="15.75" customHeight="1" x14ac:dyDescent="0.25"/>
    <row r="3189" ht="15.75" customHeight="1" x14ac:dyDescent="0.25"/>
    <row r="3190" ht="15.75" customHeight="1" x14ac:dyDescent="0.25"/>
    <row r="3191" ht="15.75" customHeight="1" x14ac:dyDescent="0.25"/>
    <row r="3192" ht="15.75" customHeight="1" x14ac:dyDescent="0.25"/>
    <row r="3193" ht="15.75" customHeight="1" x14ac:dyDescent="0.25"/>
    <row r="3194" ht="15.75" customHeight="1" x14ac:dyDescent="0.25"/>
    <row r="3195" ht="15.75" customHeight="1" x14ac:dyDescent="0.25"/>
    <row r="3196" ht="15.75" customHeight="1" x14ac:dyDescent="0.25"/>
    <row r="3197" ht="15.75" customHeight="1" x14ac:dyDescent="0.25"/>
    <row r="3198" ht="15.75" customHeight="1" x14ac:dyDescent="0.25"/>
    <row r="3199" ht="15.75" customHeight="1" x14ac:dyDescent="0.25"/>
    <row r="3200" ht="15.75" customHeight="1" x14ac:dyDescent="0.25"/>
    <row r="3201" ht="15.75" customHeight="1" x14ac:dyDescent="0.25"/>
    <row r="3202" ht="15.75" customHeight="1" x14ac:dyDescent="0.25"/>
    <row r="3203" ht="15.75" customHeight="1" x14ac:dyDescent="0.25"/>
    <row r="3204" ht="15.75" customHeight="1" x14ac:dyDescent="0.25"/>
    <row r="3205" ht="15.75" customHeight="1" x14ac:dyDescent="0.25"/>
    <row r="3206" ht="15.75" customHeight="1" x14ac:dyDescent="0.25"/>
    <row r="3207" ht="15.75" customHeight="1" x14ac:dyDescent="0.25"/>
    <row r="3208" ht="15.75" customHeight="1" x14ac:dyDescent="0.25"/>
    <row r="3209" ht="15.75" customHeight="1" x14ac:dyDescent="0.25"/>
    <row r="3210" ht="15.75" customHeight="1" x14ac:dyDescent="0.25"/>
    <row r="3211" ht="15.75" customHeight="1" x14ac:dyDescent="0.25"/>
    <row r="3212" ht="15.75" customHeight="1" x14ac:dyDescent="0.25"/>
    <row r="3213" ht="15.75" customHeight="1" x14ac:dyDescent="0.25"/>
    <row r="3214" ht="15.75" customHeight="1" x14ac:dyDescent="0.25"/>
    <row r="3215" ht="15.75" customHeight="1" x14ac:dyDescent="0.25"/>
    <row r="3216" ht="15.75" customHeight="1" x14ac:dyDescent="0.25"/>
    <row r="3217" ht="15.75" customHeight="1" x14ac:dyDescent="0.25"/>
    <row r="3218" ht="15.75" customHeight="1" x14ac:dyDescent="0.25"/>
    <row r="3219" ht="15.75" customHeight="1" x14ac:dyDescent="0.25"/>
    <row r="3220" ht="15.75" customHeight="1" x14ac:dyDescent="0.25"/>
    <row r="3221" ht="15.75" customHeight="1" x14ac:dyDescent="0.25"/>
    <row r="3222" ht="15.75" customHeight="1" x14ac:dyDescent="0.25"/>
    <row r="3223" ht="15.75" customHeight="1" x14ac:dyDescent="0.25"/>
    <row r="3224" ht="15.75" customHeight="1" x14ac:dyDescent="0.25"/>
    <row r="3225" ht="15.75" customHeight="1" x14ac:dyDescent="0.25"/>
    <row r="3226" ht="15.75" customHeight="1" x14ac:dyDescent="0.25"/>
    <row r="3227" ht="15.75" customHeight="1" x14ac:dyDescent="0.25"/>
    <row r="3228" ht="15.75" customHeight="1" x14ac:dyDescent="0.25"/>
    <row r="3229" ht="15.75" customHeight="1" x14ac:dyDescent="0.25"/>
    <row r="3230" ht="15.75" customHeight="1" x14ac:dyDescent="0.25"/>
    <row r="3231" ht="15.75" customHeight="1" x14ac:dyDescent="0.25"/>
    <row r="3232" ht="15.75" customHeight="1" x14ac:dyDescent="0.25"/>
    <row r="3233" ht="15.75" customHeight="1" x14ac:dyDescent="0.25"/>
    <row r="3234" ht="15.75" customHeight="1" x14ac:dyDescent="0.25"/>
    <row r="3235" ht="15.75" customHeight="1" x14ac:dyDescent="0.25"/>
    <row r="3236" ht="15.75" customHeight="1" x14ac:dyDescent="0.25"/>
    <row r="3237" ht="15.75" customHeight="1" x14ac:dyDescent="0.25"/>
    <row r="3238" ht="15.75" customHeight="1" x14ac:dyDescent="0.25"/>
    <row r="3239" ht="15.75" customHeight="1" x14ac:dyDescent="0.25"/>
    <row r="3240" ht="15.75" customHeight="1" x14ac:dyDescent="0.25"/>
    <row r="3241" ht="15.75" customHeight="1" x14ac:dyDescent="0.25"/>
    <row r="3242" ht="15.75" customHeight="1" x14ac:dyDescent="0.25"/>
    <row r="3243" ht="15.75" customHeight="1" x14ac:dyDescent="0.25"/>
    <row r="3244" ht="15.75" customHeight="1" x14ac:dyDescent="0.25"/>
    <row r="3245" ht="15.75" customHeight="1" x14ac:dyDescent="0.25"/>
    <row r="3246" ht="15.75" customHeight="1" x14ac:dyDescent="0.25"/>
    <row r="3247" ht="15.75" customHeight="1" x14ac:dyDescent="0.25"/>
    <row r="3248" ht="15.75" customHeight="1" x14ac:dyDescent="0.25"/>
    <row r="3249" ht="15.75" customHeight="1" x14ac:dyDescent="0.25"/>
    <row r="3250" ht="15.75" customHeight="1" x14ac:dyDescent="0.25"/>
    <row r="3251" ht="15.75" customHeight="1" x14ac:dyDescent="0.25"/>
    <row r="3252" ht="15.75" customHeight="1" x14ac:dyDescent="0.25"/>
    <row r="3253" ht="15.75" customHeight="1" x14ac:dyDescent="0.25"/>
    <row r="3254" ht="15.75" customHeight="1" x14ac:dyDescent="0.25"/>
    <row r="3255" ht="15.75" customHeight="1" x14ac:dyDescent="0.25"/>
    <row r="3256" ht="15.75" customHeight="1" x14ac:dyDescent="0.25"/>
    <row r="3257" ht="15.75" customHeight="1" x14ac:dyDescent="0.25"/>
    <row r="3258" ht="15.75" customHeight="1" x14ac:dyDescent="0.25"/>
    <row r="3259" ht="15.75" customHeight="1" x14ac:dyDescent="0.25"/>
    <row r="3260" ht="15.75" customHeight="1" x14ac:dyDescent="0.25"/>
    <row r="3261" ht="15.75" customHeight="1" x14ac:dyDescent="0.25"/>
    <row r="3262" ht="15.75" customHeight="1" x14ac:dyDescent="0.25"/>
    <row r="3263" ht="15.75" customHeight="1" x14ac:dyDescent="0.25"/>
    <row r="3264" ht="15.75" customHeight="1" x14ac:dyDescent="0.25"/>
    <row r="3265" ht="15.75" customHeight="1" x14ac:dyDescent="0.25"/>
    <row r="3266" ht="15.75" customHeight="1" x14ac:dyDescent="0.25"/>
    <row r="3267" ht="15.75" customHeight="1" x14ac:dyDescent="0.25"/>
    <row r="3268" ht="15.75" customHeight="1" x14ac:dyDescent="0.25"/>
    <row r="3269" ht="15.75" customHeight="1" x14ac:dyDescent="0.25"/>
    <row r="3270" ht="15.75" customHeight="1" x14ac:dyDescent="0.25"/>
    <row r="3271" ht="15.75" customHeight="1" x14ac:dyDescent="0.25"/>
    <row r="3272" ht="15.75" customHeight="1" x14ac:dyDescent="0.25"/>
    <row r="3273" ht="15.75" customHeight="1" x14ac:dyDescent="0.25"/>
    <row r="3274" ht="15.75" customHeight="1" x14ac:dyDescent="0.25"/>
    <row r="3275" ht="15.75" customHeight="1" x14ac:dyDescent="0.25"/>
    <row r="3276" ht="15.75" customHeight="1" x14ac:dyDescent="0.25"/>
    <row r="3277" ht="15.75" customHeight="1" x14ac:dyDescent="0.25"/>
    <row r="3278" ht="15.75" customHeight="1" x14ac:dyDescent="0.25"/>
    <row r="3279" ht="15.75" customHeight="1" x14ac:dyDescent="0.25"/>
    <row r="3280" ht="15.75" customHeight="1" x14ac:dyDescent="0.25"/>
    <row r="3281" ht="15.75" customHeight="1" x14ac:dyDescent="0.25"/>
    <row r="3282" ht="15.75" customHeight="1" x14ac:dyDescent="0.25"/>
    <row r="3283" ht="15.75" customHeight="1" x14ac:dyDescent="0.25"/>
    <row r="3284" ht="15.75" customHeight="1" x14ac:dyDescent="0.25"/>
    <row r="3285" ht="15.75" customHeight="1" x14ac:dyDescent="0.25"/>
    <row r="3286" ht="15.75" customHeight="1" x14ac:dyDescent="0.25"/>
    <row r="3287" ht="15.75" customHeight="1" x14ac:dyDescent="0.25"/>
    <row r="3288" ht="15.75" customHeight="1" x14ac:dyDescent="0.25"/>
    <row r="3289" ht="15.75" customHeight="1" x14ac:dyDescent="0.25"/>
    <row r="3290" ht="15.75" customHeight="1" x14ac:dyDescent="0.25"/>
    <row r="3291" ht="15.75" customHeight="1" x14ac:dyDescent="0.25"/>
    <row r="3292" ht="15.75" customHeight="1" x14ac:dyDescent="0.25"/>
    <row r="3293" ht="15.75" customHeight="1" x14ac:dyDescent="0.25"/>
    <row r="3294" ht="15.75" customHeight="1" x14ac:dyDescent="0.25"/>
    <row r="3295" ht="15.75" customHeight="1" x14ac:dyDescent="0.25"/>
    <row r="3296" ht="15.75" customHeight="1" x14ac:dyDescent="0.25"/>
    <row r="3297" ht="15.75" customHeight="1" x14ac:dyDescent="0.25"/>
    <row r="3298" ht="15.75" customHeight="1" x14ac:dyDescent="0.25"/>
    <row r="3299" ht="15.75" customHeight="1" x14ac:dyDescent="0.25"/>
    <row r="3300" ht="15.75" customHeight="1" x14ac:dyDescent="0.25"/>
    <row r="3301" ht="15.75" customHeight="1" x14ac:dyDescent="0.25"/>
    <row r="3302" ht="15.75" customHeight="1" x14ac:dyDescent="0.25"/>
    <row r="3303" ht="15.75" customHeight="1" x14ac:dyDescent="0.25"/>
    <row r="3304" ht="15.75" customHeight="1" x14ac:dyDescent="0.25"/>
    <row r="3305" ht="15.75" customHeight="1" x14ac:dyDescent="0.25"/>
    <row r="3306" ht="15.75" customHeight="1" x14ac:dyDescent="0.25"/>
    <row r="3307" ht="15.75" customHeight="1" x14ac:dyDescent="0.25"/>
    <row r="3308" ht="15.75" customHeight="1" x14ac:dyDescent="0.25"/>
    <row r="3309" ht="15.75" customHeight="1" x14ac:dyDescent="0.25"/>
    <row r="3310" ht="15.75" customHeight="1" x14ac:dyDescent="0.25"/>
    <row r="3311" ht="15.75" customHeight="1" x14ac:dyDescent="0.25"/>
    <row r="3312" ht="15.75" customHeight="1" x14ac:dyDescent="0.25"/>
    <row r="3313" ht="15.75" customHeight="1" x14ac:dyDescent="0.25"/>
    <row r="3314" ht="15.75" customHeight="1" x14ac:dyDescent="0.25"/>
    <row r="3315" ht="15.75" customHeight="1" x14ac:dyDescent="0.25"/>
    <row r="3316" ht="15.75" customHeight="1" x14ac:dyDescent="0.25"/>
    <row r="3317" ht="15.75" customHeight="1" x14ac:dyDescent="0.25"/>
    <row r="3318" ht="15.75" customHeight="1" x14ac:dyDescent="0.25"/>
    <row r="3319" ht="15.75" customHeight="1" x14ac:dyDescent="0.25"/>
    <row r="3320" ht="15.75" customHeight="1" x14ac:dyDescent="0.25"/>
    <row r="3321" ht="15.75" customHeight="1" x14ac:dyDescent="0.25"/>
    <row r="3322" ht="15.75" customHeight="1" x14ac:dyDescent="0.25"/>
    <row r="3323" ht="15.75" customHeight="1" x14ac:dyDescent="0.25"/>
    <row r="3324" ht="15.75" customHeight="1" x14ac:dyDescent="0.25"/>
    <row r="3325" ht="15.75" customHeight="1" x14ac:dyDescent="0.25"/>
    <row r="3326" ht="15.75" customHeight="1" x14ac:dyDescent="0.25"/>
    <row r="3327" ht="15.75" customHeight="1" x14ac:dyDescent="0.25"/>
    <row r="3328" ht="15.75" customHeight="1" x14ac:dyDescent="0.25"/>
    <row r="3329" ht="15.75" customHeight="1" x14ac:dyDescent="0.25"/>
    <row r="3330" ht="15.75" customHeight="1" x14ac:dyDescent="0.25"/>
    <row r="3331" ht="15.75" customHeight="1" x14ac:dyDescent="0.25"/>
    <row r="3332" ht="15.75" customHeight="1" x14ac:dyDescent="0.25"/>
    <row r="3333" ht="15.75" customHeight="1" x14ac:dyDescent="0.25"/>
    <row r="3334" ht="15.75" customHeight="1" x14ac:dyDescent="0.25"/>
    <row r="3335" ht="15.75" customHeight="1" x14ac:dyDescent="0.25"/>
    <row r="3336" ht="15.75" customHeight="1" x14ac:dyDescent="0.25"/>
    <row r="3337" ht="15.75" customHeight="1" x14ac:dyDescent="0.25"/>
    <row r="3338" ht="15.75" customHeight="1" x14ac:dyDescent="0.25"/>
    <row r="3339" ht="15.75" customHeight="1" x14ac:dyDescent="0.25"/>
    <row r="3340" ht="15.75" customHeight="1" x14ac:dyDescent="0.25"/>
    <row r="3341" ht="15.75" customHeight="1" x14ac:dyDescent="0.25"/>
    <row r="3342" ht="15.75" customHeight="1" x14ac:dyDescent="0.25"/>
    <row r="3343" ht="15.75" customHeight="1" x14ac:dyDescent="0.25"/>
    <row r="3344" ht="15.75" customHeight="1" x14ac:dyDescent="0.25"/>
    <row r="3345" ht="15.75" customHeight="1" x14ac:dyDescent="0.25"/>
    <row r="3346" ht="15.75" customHeight="1" x14ac:dyDescent="0.25"/>
    <row r="3347" ht="15.75" customHeight="1" x14ac:dyDescent="0.25"/>
    <row r="3348" ht="15.75" customHeight="1" x14ac:dyDescent="0.25"/>
    <row r="3349" ht="15.75" customHeight="1" x14ac:dyDescent="0.25"/>
    <row r="3350" ht="15.75" customHeight="1" x14ac:dyDescent="0.25"/>
    <row r="3351" ht="15.75" customHeight="1" x14ac:dyDescent="0.25"/>
    <row r="3352" ht="15.75" customHeight="1" x14ac:dyDescent="0.25"/>
    <row r="3353" ht="15.75" customHeight="1" x14ac:dyDescent="0.25"/>
    <row r="3354" ht="15.75" customHeight="1" x14ac:dyDescent="0.25"/>
    <row r="3355" ht="15.75" customHeight="1" x14ac:dyDescent="0.25"/>
    <row r="3356" ht="15.75" customHeight="1" x14ac:dyDescent="0.25"/>
    <row r="3357" ht="15.75" customHeight="1" x14ac:dyDescent="0.25"/>
    <row r="3358" ht="15.75" customHeight="1" x14ac:dyDescent="0.25"/>
    <row r="3359" ht="15.75" customHeight="1" x14ac:dyDescent="0.25"/>
    <row r="3360" ht="15.75" customHeight="1" x14ac:dyDescent="0.25"/>
    <row r="3361" ht="15.75" customHeight="1" x14ac:dyDescent="0.25"/>
    <row r="3362" ht="15.75" customHeight="1" x14ac:dyDescent="0.25"/>
    <row r="3363" ht="15.75" customHeight="1" x14ac:dyDescent="0.25"/>
    <row r="3364" ht="15.75" customHeight="1" x14ac:dyDescent="0.25"/>
    <row r="3365" ht="15.75" customHeight="1" x14ac:dyDescent="0.25"/>
    <row r="3366" ht="15.75" customHeight="1" x14ac:dyDescent="0.25"/>
    <row r="3367" ht="15.75" customHeight="1" x14ac:dyDescent="0.25"/>
    <row r="3368" ht="15.75" customHeight="1" x14ac:dyDescent="0.25"/>
    <row r="3369" ht="15.75" customHeight="1" x14ac:dyDescent="0.25"/>
    <row r="3370" ht="15.75" customHeight="1" x14ac:dyDescent="0.25"/>
    <row r="3371" ht="15.75" customHeight="1" x14ac:dyDescent="0.25"/>
    <row r="3372" ht="15.75" customHeight="1" x14ac:dyDescent="0.25"/>
    <row r="3373" ht="15.75" customHeight="1" x14ac:dyDescent="0.25"/>
    <row r="3374" ht="15.75" customHeight="1" x14ac:dyDescent="0.25"/>
    <row r="3375" ht="15.75" customHeight="1" x14ac:dyDescent="0.25"/>
    <row r="3376" ht="15.75" customHeight="1" x14ac:dyDescent="0.25"/>
    <row r="3377" ht="15.75" customHeight="1" x14ac:dyDescent="0.25"/>
    <row r="3378" ht="15.75" customHeight="1" x14ac:dyDescent="0.25"/>
    <row r="3379" ht="15.75" customHeight="1" x14ac:dyDescent="0.25"/>
    <row r="3380" ht="15.75" customHeight="1" x14ac:dyDescent="0.25"/>
    <row r="3381" ht="15.75" customHeight="1" x14ac:dyDescent="0.25"/>
    <row r="3382" ht="15.75" customHeight="1" x14ac:dyDescent="0.25"/>
    <row r="3383" ht="15.75" customHeight="1" x14ac:dyDescent="0.25"/>
    <row r="3384" ht="15.75" customHeight="1" x14ac:dyDescent="0.25"/>
    <row r="3385" ht="15.75" customHeight="1" x14ac:dyDescent="0.25"/>
    <row r="3386" ht="15.75" customHeight="1" x14ac:dyDescent="0.25"/>
    <row r="3387" ht="15.75" customHeight="1" x14ac:dyDescent="0.25"/>
    <row r="3388" ht="15.75" customHeight="1" x14ac:dyDescent="0.25"/>
    <row r="3389" ht="15.75" customHeight="1" x14ac:dyDescent="0.25"/>
    <row r="3390" ht="15.75" customHeight="1" x14ac:dyDescent="0.25"/>
    <row r="3391" ht="15.75" customHeight="1" x14ac:dyDescent="0.25"/>
    <row r="3392" ht="15.75" customHeight="1" x14ac:dyDescent="0.25"/>
    <row r="3393" ht="15.75" customHeight="1" x14ac:dyDescent="0.25"/>
    <row r="3394" ht="15.75" customHeight="1" x14ac:dyDescent="0.25"/>
    <row r="3395" ht="15.75" customHeight="1" x14ac:dyDescent="0.25"/>
    <row r="3396" ht="15.75" customHeight="1" x14ac:dyDescent="0.25"/>
    <row r="3397" ht="15.75" customHeight="1" x14ac:dyDescent="0.25"/>
    <row r="3398" ht="15.75" customHeight="1" x14ac:dyDescent="0.25"/>
    <row r="3399" ht="15.75" customHeight="1" x14ac:dyDescent="0.25"/>
    <row r="3400" ht="15.75" customHeight="1" x14ac:dyDescent="0.25"/>
    <row r="3401" ht="15.75" customHeight="1" x14ac:dyDescent="0.25"/>
    <row r="3402" ht="15.75" customHeight="1" x14ac:dyDescent="0.25"/>
    <row r="3403" ht="15.75" customHeight="1" x14ac:dyDescent="0.25"/>
    <row r="3404" ht="15.75" customHeight="1" x14ac:dyDescent="0.25"/>
    <row r="3405" ht="15.75" customHeight="1" x14ac:dyDescent="0.25"/>
    <row r="3406" ht="15.75" customHeight="1" x14ac:dyDescent="0.25"/>
    <row r="3407" ht="15.75" customHeight="1" x14ac:dyDescent="0.25"/>
    <row r="3408" ht="15.75" customHeight="1" x14ac:dyDescent="0.25"/>
    <row r="3409" ht="15.75" customHeight="1" x14ac:dyDescent="0.25"/>
    <row r="3410" ht="15.75" customHeight="1" x14ac:dyDescent="0.25"/>
    <row r="3411" ht="15.75" customHeight="1" x14ac:dyDescent="0.25"/>
    <row r="3412" ht="15.75" customHeight="1" x14ac:dyDescent="0.25"/>
    <row r="3413" ht="15.75" customHeight="1" x14ac:dyDescent="0.25"/>
    <row r="3414" ht="15.75" customHeight="1" x14ac:dyDescent="0.25"/>
    <row r="3415" ht="15.75" customHeight="1" x14ac:dyDescent="0.25"/>
    <row r="3416" ht="15.75" customHeight="1" x14ac:dyDescent="0.25"/>
    <row r="3417" ht="15.75" customHeight="1" x14ac:dyDescent="0.25"/>
    <row r="3418" ht="15.75" customHeight="1" x14ac:dyDescent="0.25"/>
    <row r="3419" ht="15.75" customHeight="1" x14ac:dyDescent="0.25"/>
    <row r="3420" ht="15.75" customHeight="1" x14ac:dyDescent="0.25"/>
    <row r="3421" ht="15.75" customHeight="1" x14ac:dyDescent="0.25"/>
    <row r="3422" ht="15.75" customHeight="1" x14ac:dyDescent="0.25"/>
    <row r="3423" ht="15.75" customHeight="1" x14ac:dyDescent="0.25"/>
    <row r="3424" ht="15.75" customHeight="1" x14ac:dyDescent="0.25"/>
    <row r="3425" ht="15.75" customHeight="1" x14ac:dyDescent="0.25"/>
    <row r="3426" ht="15.75" customHeight="1" x14ac:dyDescent="0.25"/>
    <row r="3427" ht="15.75" customHeight="1" x14ac:dyDescent="0.25"/>
    <row r="3428" ht="15.75" customHeight="1" x14ac:dyDescent="0.25"/>
    <row r="3429" ht="15.75" customHeight="1" x14ac:dyDescent="0.25"/>
    <row r="3430" ht="15.75" customHeight="1" x14ac:dyDescent="0.25"/>
    <row r="3431" ht="15.75" customHeight="1" x14ac:dyDescent="0.25"/>
    <row r="3432" ht="15.75" customHeight="1" x14ac:dyDescent="0.25"/>
    <row r="3433" ht="15.75" customHeight="1" x14ac:dyDescent="0.25"/>
    <row r="3434" ht="15.75" customHeight="1" x14ac:dyDescent="0.25"/>
    <row r="3435" ht="15.75" customHeight="1" x14ac:dyDescent="0.25"/>
    <row r="3436" ht="15.75" customHeight="1" x14ac:dyDescent="0.25"/>
    <row r="3437" ht="15.75" customHeight="1" x14ac:dyDescent="0.25"/>
    <row r="3438" ht="15.75" customHeight="1" x14ac:dyDescent="0.25"/>
    <row r="3439" ht="15.75" customHeight="1" x14ac:dyDescent="0.25"/>
    <row r="3440" ht="15.75" customHeight="1" x14ac:dyDescent="0.25"/>
    <row r="3441" ht="15.75" customHeight="1" x14ac:dyDescent="0.25"/>
    <row r="3442" ht="15.75" customHeight="1" x14ac:dyDescent="0.25"/>
    <row r="3443" ht="15.75" customHeight="1" x14ac:dyDescent="0.25"/>
    <row r="3444" ht="15.75" customHeight="1" x14ac:dyDescent="0.25"/>
    <row r="3445" ht="15.75" customHeight="1" x14ac:dyDescent="0.25"/>
    <row r="3446" ht="15.75" customHeight="1" x14ac:dyDescent="0.25"/>
    <row r="3447" ht="15.75" customHeight="1" x14ac:dyDescent="0.25"/>
    <row r="3448" ht="15.75" customHeight="1" x14ac:dyDescent="0.25"/>
    <row r="3449" ht="15.75" customHeight="1" x14ac:dyDescent="0.25"/>
    <row r="3450" ht="15.75" customHeight="1" x14ac:dyDescent="0.25"/>
    <row r="3451" ht="15.75" customHeight="1" x14ac:dyDescent="0.25"/>
    <row r="3452" ht="15.75" customHeight="1" x14ac:dyDescent="0.25"/>
    <row r="3453" ht="15.75" customHeight="1" x14ac:dyDescent="0.25"/>
    <row r="3454" ht="15.75" customHeight="1" x14ac:dyDescent="0.25"/>
    <row r="3455" ht="15.75" customHeight="1" x14ac:dyDescent="0.25"/>
    <row r="3456" ht="15.75" customHeight="1" x14ac:dyDescent="0.25"/>
    <row r="3457" ht="15.75" customHeight="1" x14ac:dyDescent="0.25"/>
    <row r="3458" ht="15.75" customHeight="1" x14ac:dyDescent="0.25"/>
    <row r="3459" ht="15.75" customHeight="1" x14ac:dyDescent="0.25"/>
    <row r="3460" ht="15.75" customHeight="1" x14ac:dyDescent="0.25"/>
    <row r="3461" ht="15.75" customHeight="1" x14ac:dyDescent="0.25"/>
    <row r="3462" ht="15.75" customHeight="1" x14ac:dyDescent="0.25"/>
    <row r="3463" ht="15.75" customHeight="1" x14ac:dyDescent="0.25"/>
    <row r="3464" ht="15.75" customHeight="1" x14ac:dyDescent="0.25"/>
    <row r="3465" ht="15.75" customHeight="1" x14ac:dyDescent="0.25"/>
    <row r="3466" ht="15.75" customHeight="1" x14ac:dyDescent="0.25"/>
    <row r="3467" ht="15.75" customHeight="1" x14ac:dyDescent="0.25"/>
    <row r="3468" ht="15.75" customHeight="1" x14ac:dyDescent="0.25"/>
    <row r="3469" ht="15.75" customHeight="1" x14ac:dyDescent="0.25"/>
    <row r="3470" ht="15.75" customHeight="1" x14ac:dyDescent="0.25"/>
    <row r="3471" ht="15.75" customHeight="1" x14ac:dyDescent="0.25"/>
    <row r="3472" ht="15.75" customHeight="1" x14ac:dyDescent="0.25"/>
    <row r="3473" ht="15.75" customHeight="1" x14ac:dyDescent="0.25"/>
    <row r="3474" ht="15.75" customHeight="1" x14ac:dyDescent="0.25"/>
    <row r="3475" ht="15.75" customHeight="1" x14ac:dyDescent="0.25"/>
    <row r="3476" ht="15.75" customHeight="1" x14ac:dyDescent="0.25"/>
    <row r="3477" ht="15.75" customHeight="1" x14ac:dyDescent="0.25"/>
    <row r="3478" ht="15.75" customHeight="1" x14ac:dyDescent="0.25"/>
    <row r="3479" ht="15.75" customHeight="1" x14ac:dyDescent="0.25"/>
    <row r="3480" ht="15.75" customHeight="1" x14ac:dyDescent="0.25"/>
    <row r="3481" ht="15.75" customHeight="1" x14ac:dyDescent="0.25"/>
    <row r="3482" ht="15.75" customHeight="1" x14ac:dyDescent="0.25"/>
    <row r="3483" ht="15.75" customHeight="1" x14ac:dyDescent="0.25"/>
    <row r="3484" ht="15.75" customHeight="1" x14ac:dyDescent="0.25"/>
    <row r="3485" ht="15.75" customHeight="1" x14ac:dyDescent="0.25"/>
    <row r="3486" ht="15.75" customHeight="1" x14ac:dyDescent="0.25"/>
    <row r="3487" ht="15.75" customHeight="1" x14ac:dyDescent="0.25"/>
    <row r="3488" ht="15.75" customHeight="1" x14ac:dyDescent="0.25"/>
    <row r="3489" ht="15.75" customHeight="1" x14ac:dyDescent="0.25"/>
    <row r="3490" ht="15.75" customHeight="1" x14ac:dyDescent="0.25"/>
    <row r="3491" ht="15.75" customHeight="1" x14ac:dyDescent="0.25"/>
    <row r="3492" ht="15.75" customHeight="1" x14ac:dyDescent="0.25"/>
    <row r="3493" ht="15.75" customHeight="1" x14ac:dyDescent="0.25"/>
    <row r="3494" ht="15.75" customHeight="1" x14ac:dyDescent="0.25"/>
    <row r="3495" ht="15.75" customHeight="1" x14ac:dyDescent="0.25"/>
    <row r="3496" ht="15.75" customHeight="1" x14ac:dyDescent="0.25"/>
    <row r="3497" ht="15.75" customHeight="1" x14ac:dyDescent="0.25"/>
    <row r="3498" ht="15.75" customHeight="1" x14ac:dyDescent="0.25"/>
    <row r="3499" ht="15.75" customHeight="1" x14ac:dyDescent="0.25"/>
    <row r="3500" ht="15.75" customHeight="1" x14ac:dyDescent="0.25"/>
    <row r="3501" ht="15.75" customHeight="1" x14ac:dyDescent="0.25"/>
    <row r="3502" ht="15.75" customHeight="1" x14ac:dyDescent="0.25"/>
    <row r="3503" ht="15.75" customHeight="1" x14ac:dyDescent="0.25"/>
    <row r="3504" ht="15.75" customHeight="1" x14ac:dyDescent="0.25"/>
    <row r="3505" ht="15.75" customHeight="1" x14ac:dyDescent="0.25"/>
    <row r="3506" ht="15.75" customHeight="1" x14ac:dyDescent="0.25"/>
    <row r="3507" ht="15.75" customHeight="1" x14ac:dyDescent="0.25"/>
    <row r="3508" ht="15.75" customHeight="1" x14ac:dyDescent="0.25"/>
    <row r="3509" ht="15.75" customHeight="1" x14ac:dyDescent="0.25"/>
    <row r="3510" ht="15.75" customHeight="1" x14ac:dyDescent="0.25"/>
    <row r="3511" ht="15.75" customHeight="1" x14ac:dyDescent="0.25"/>
    <row r="3512" ht="15.75" customHeight="1" x14ac:dyDescent="0.25"/>
    <row r="3513" ht="15.75" customHeight="1" x14ac:dyDescent="0.25"/>
    <row r="3514" ht="15.75" customHeight="1" x14ac:dyDescent="0.25"/>
    <row r="3515" ht="15.75" customHeight="1" x14ac:dyDescent="0.25"/>
    <row r="3516" ht="15.75" customHeight="1" x14ac:dyDescent="0.25"/>
    <row r="3517" ht="15.75" customHeight="1" x14ac:dyDescent="0.25"/>
    <row r="3518" ht="15.75" customHeight="1" x14ac:dyDescent="0.25"/>
    <row r="3519" ht="15.75" customHeight="1" x14ac:dyDescent="0.25"/>
    <row r="3520" ht="15.75" customHeight="1" x14ac:dyDescent="0.25"/>
    <row r="3521" ht="15.75" customHeight="1" x14ac:dyDescent="0.25"/>
    <row r="3522" ht="15.75" customHeight="1" x14ac:dyDescent="0.25"/>
    <row r="3523" ht="15.75" customHeight="1" x14ac:dyDescent="0.25"/>
    <row r="3524" ht="15.75" customHeight="1" x14ac:dyDescent="0.25"/>
    <row r="3525" ht="15.75" customHeight="1" x14ac:dyDescent="0.25"/>
    <row r="3526" ht="15.75" customHeight="1" x14ac:dyDescent="0.25"/>
    <row r="3527" ht="15.75" customHeight="1" x14ac:dyDescent="0.25"/>
    <row r="3528" ht="15.75" customHeight="1" x14ac:dyDescent="0.25"/>
    <row r="3529" ht="15.75" customHeight="1" x14ac:dyDescent="0.25"/>
    <row r="3530" ht="15.75" customHeight="1" x14ac:dyDescent="0.25"/>
    <row r="3531" ht="15.75" customHeight="1" x14ac:dyDescent="0.25"/>
    <row r="3532" ht="15.75" customHeight="1" x14ac:dyDescent="0.25"/>
    <row r="3533" ht="15.75" customHeight="1" x14ac:dyDescent="0.25"/>
    <row r="3534" ht="15.75" customHeight="1" x14ac:dyDescent="0.25"/>
    <row r="3535" ht="15.75" customHeight="1" x14ac:dyDescent="0.25"/>
    <row r="3536" ht="15.75" customHeight="1" x14ac:dyDescent="0.25"/>
    <row r="3537" ht="15.75" customHeight="1" x14ac:dyDescent="0.25"/>
    <row r="3538" ht="15.75" customHeight="1" x14ac:dyDescent="0.25"/>
    <row r="3539" ht="15.75" customHeight="1" x14ac:dyDescent="0.25"/>
    <row r="3540" ht="15.75" customHeight="1" x14ac:dyDescent="0.25"/>
    <row r="3541" ht="15.75" customHeight="1" x14ac:dyDescent="0.25"/>
    <row r="3542" ht="15.75" customHeight="1" x14ac:dyDescent="0.25"/>
    <row r="3543" ht="15.75" customHeight="1" x14ac:dyDescent="0.25"/>
    <row r="3544" ht="15.75" customHeight="1" x14ac:dyDescent="0.25"/>
    <row r="3545" ht="15.75" customHeight="1" x14ac:dyDescent="0.25"/>
    <row r="3546" ht="15.75" customHeight="1" x14ac:dyDescent="0.25"/>
    <row r="3547" ht="15.75" customHeight="1" x14ac:dyDescent="0.25"/>
    <row r="3548" ht="15.75" customHeight="1" x14ac:dyDescent="0.25"/>
    <row r="3549" ht="15.75" customHeight="1" x14ac:dyDescent="0.25"/>
    <row r="3550" ht="15.75" customHeight="1" x14ac:dyDescent="0.25"/>
    <row r="3551" ht="15.75" customHeight="1" x14ac:dyDescent="0.25"/>
    <row r="3552" ht="15.75" customHeight="1" x14ac:dyDescent="0.25"/>
    <row r="3553" ht="15.75" customHeight="1" x14ac:dyDescent="0.25"/>
    <row r="3554" ht="15.75" customHeight="1" x14ac:dyDescent="0.25"/>
    <row r="3555" ht="15.75" customHeight="1" x14ac:dyDescent="0.25"/>
    <row r="3556" ht="15.75" customHeight="1" x14ac:dyDescent="0.25"/>
    <row r="3557" ht="15.75" customHeight="1" x14ac:dyDescent="0.25"/>
    <row r="3558" ht="15.75" customHeight="1" x14ac:dyDescent="0.25"/>
    <row r="3559" ht="15.75" customHeight="1" x14ac:dyDescent="0.25"/>
    <row r="3560" ht="15.75" customHeight="1" x14ac:dyDescent="0.25"/>
    <row r="3561" ht="15.75" customHeight="1" x14ac:dyDescent="0.25"/>
    <row r="3562" ht="15.75" customHeight="1" x14ac:dyDescent="0.25"/>
    <row r="3563" ht="15.75" customHeight="1" x14ac:dyDescent="0.25"/>
    <row r="3564" ht="15.75" customHeight="1" x14ac:dyDescent="0.25"/>
    <row r="3565" ht="15.75" customHeight="1" x14ac:dyDescent="0.25"/>
    <row r="3566" ht="15.75" customHeight="1" x14ac:dyDescent="0.25"/>
    <row r="3567" ht="15.75" customHeight="1" x14ac:dyDescent="0.25"/>
    <row r="3568" ht="15.75" customHeight="1" x14ac:dyDescent="0.25"/>
    <row r="3569" ht="15.75" customHeight="1" x14ac:dyDescent="0.25"/>
    <row r="3570" ht="15.75" customHeight="1" x14ac:dyDescent="0.25"/>
    <row r="3571" ht="15.75" customHeight="1" x14ac:dyDescent="0.25"/>
    <row r="3572" ht="15.75" customHeight="1" x14ac:dyDescent="0.25"/>
    <row r="3573" ht="15.75" customHeight="1" x14ac:dyDescent="0.25"/>
    <row r="3574" ht="15.75" customHeight="1" x14ac:dyDescent="0.25"/>
    <row r="3575" ht="15.75" customHeight="1" x14ac:dyDescent="0.25"/>
    <row r="3576" ht="15.75" customHeight="1" x14ac:dyDescent="0.25"/>
    <row r="3577" ht="15.75" customHeight="1" x14ac:dyDescent="0.25"/>
    <row r="3578" ht="15.75" customHeight="1" x14ac:dyDescent="0.25"/>
    <row r="3579" ht="15.75" customHeight="1" x14ac:dyDescent="0.25"/>
    <row r="3580" ht="15.75" customHeight="1" x14ac:dyDescent="0.25"/>
    <row r="3581" ht="15.75" customHeight="1" x14ac:dyDescent="0.25"/>
    <row r="3582" ht="15.75" customHeight="1" x14ac:dyDescent="0.25"/>
    <row r="3583" ht="15.75" customHeight="1" x14ac:dyDescent="0.25"/>
    <row r="3584" ht="15.75" customHeight="1" x14ac:dyDescent="0.25"/>
    <row r="3585" ht="15.75" customHeight="1" x14ac:dyDescent="0.25"/>
    <row r="3586" ht="15.75" customHeight="1" x14ac:dyDescent="0.25"/>
    <row r="3587" ht="15.75" customHeight="1" x14ac:dyDescent="0.25"/>
    <row r="3588" ht="15.75" customHeight="1" x14ac:dyDescent="0.25"/>
    <row r="3589" ht="15.75" customHeight="1" x14ac:dyDescent="0.25"/>
    <row r="3590" ht="15.75" customHeight="1" x14ac:dyDescent="0.25"/>
    <row r="3591" ht="15.75" customHeight="1" x14ac:dyDescent="0.25"/>
    <row r="3592" ht="15.75" customHeight="1" x14ac:dyDescent="0.25"/>
    <row r="3593" ht="15.75" customHeight="1" x14ac:dyDescent="0.25"/>
    <row r="3594" ht="15.75" customHeight="1" x14ac:dyDescent="0.25"/>
    <row r="3595" ht="15.75" customHeight="1" x14ac:dyDescent="0.25"/>
    <row r="3596" ht="15.75" customHeight="1" x14ac:dyDescent="0.25"/>
    <row r="3597" ht="15.75" customHeight="1" x14ac:dyDescent="0.25"/>
    <row r="3598" ht="15.75" customHeight="1" x14ac:dyDescent="0.25"/>
    <row r="3599" ht="15.75" customHeight="1" x14ac:dyDescent="0.25"/>
    <row r="3600" ht="15.75" customHeight="1" x14ac:dyDescent="0.25"/>
    <row r="3601" ht="15.75" customHeight="1" x14ac:dyDescent="0.25"/>
    <row r="3602" ht="15.75" customHeight="1" x14ac:dyDescent="0.25"/>
    <row r="3603" ht="15.75" customHeight="1" x14ac:dyDescent="0.25"/>
    <row r="3604" ht="15.75" customHeight="1" x14ac:dyDescent="0.25"/>
    <row r="3605" ht="15.75" customHeight="1" x14ac:dyDescent="0.25"/>
    <row r="3606" ht="15.75" customHeight="1" x14ac:dyDescent="0.25"/>
    <row r="3607" ht="15.75" customHeight="1" x14ac:dyDescent="0.25"/>
    <row r="3608" ht="15.75" customHeight="1" x14ac:dyDescent="0.25"/>
    <row r="3609" ht="15.75" customHeight="1" x14ac:dyDescent="0.25"/>
    <row r="3610" ht="15.75" customHeight="1" x14ac:dyDescent="0.25"/>
    <row r="3611" ht="15.75" customHeight="1" x14ac:dyDescent="0.25"/>
    <row r="3612" ht="15.75" customHeight="1" x14ac:dyDescent="0.25"/>
    <row r="3613" ht="15.75" customHeight="1" x14ac:dyDescent="0.25"/>
    <row r="3614" ht="15.75" customHeight="1" x14ac:dyDescent="0.25"/>
    <row r="3615" ht="15.75" customHeight="1" x14ac:dyDescent="0.25"/>
    <row r="3616" ht="15.75" customHeight="1" x14ac:dyDescent="0.25"/>
    <row r="3617" ht="15.75" customHeight="1" x14ac:dyDescent="0.25"/>
    <row r="3618" ht="15.75" customHeight="1" x14ac:dyDescent="0.25"/>
    <row r="3619" ht="15.75" customHeight="1" x14ac:dyDescent="0.25"/>
    <row r="3620" ht="15.75" customHeight="1" x14ac:dyDescent="0.25"/>
    <row r="3621" ht="15.75" customHeight="1" x14ac:dyDescent="0.25"/>
    <row r="3622" ht="15.75" customHeight="1" x14ac:dyDescent="0.25"/>
    <row r="3623" ht="15.75" customHeight="1" x14ac:dyDescent="0.25"/>
    <row r="3624" ht="15.75" customHeight="1" x14ac:dyDescent="0.25"/>
    <row r="3625" ht="15.75" customHeight="1" x14ac:dyDescent="0.25"/>
    <row r="3626" ht="15.75" customHeight="1" x14ac:dyDescent="0.25"/>
    <row r="3627" ht="15.75" customHeight="1" x14ac:dyDescent="0.25"/>
    <row r="3628" ht="15.75" customHeight="1" x14ac:dyDescent="0.25"/>
    <row r="3629" ht="15.75" customHeight="1" x14ac:dyDescent="0.25"/>
    <row r="3630" ht="15.75" customHeight="1" x14ac:dyDescent="0.25"/>
    <row r="3631" ht="15.75" customHeight="1" x14ac:dyDescent="0.25"/>
    <row r="3632" ht="15.75" customHeight="1" x14ac:dyDescent="0.25"/>
    <row r="3633" ht="15.75" customHeight="1" x14ac:dyDescent="0.25"/>
    <row r="3634" ht="15.75" customHeight="1" x14ac:dyDescent="0.25"/>
    <row r="3635" ht="15.75" customHeight="1" x14ac:dyDescent="0.25"/>
    <row r="3636" ht="15.75" customHeight="1" x14ac:dyDescent="0.25"/>
    <row r="3637" ht="15.75" customHeight="1" x14ac:dyDescent="0.25"/>
    <row r="3638" ht="15.75" customHeight="1" x14ac:dyDescent="0.25"/>
    <row r="3639" ht="15.75" customHeight="1" x14ac:dyDescent="0.25"/>
    <row r="3640" ht="15.75" customHeight="1" x14ac:dyDescent="0.25"/>
    <row r="3641" ht="15.75" customHeight="1" x14ac:dyDescent="0.25"/>
    <row r="3642" ht="15.75" customHeight="1" x14ac:dyDescent="0.25"/>
    <row r="3643" ht="15.75" customHeight="1" x14ac:dyDescent="0.25"/>
    <row r="3644" ht="15.75" customHeight="1" x14ac:dyDescent="0.25"/>
    <row r="3645" ht="15.75" customHeight="1" x14ac:dyDescent="0.25"/>
    <row r="3646" ht="15.75" customHeight="1" x14ac:dyDescent="0.25"/>
    <row r="3647" ht="15.75" customHeight="1" x14ac:dyDescent="0.25"/>
    <row r="3648" ht="15.75" customHeight="1" x14ac:dyDescent="0.25"/>
    <row r="3649" ht="15.75" customHeight="1" x14ac:dyDescent="0.25"/>
    <row r="3650" ht="15.75" customHeight="1" x14ac:dyDescent="0.25"/>
    <row r="3651" ht="15.75" customHeight="1" x14ac:dyDescent="0.25"/>
    <row r="3652" ht="15.75" customHeight="1" x14ac:dyDescent="0.25"/>
    <row r="3653" ht="15.75" customHeight="1" x14ac:dyDescent="0.25"/>
    <row r="3654" ht="15.75" customHeight="1" x14ac:dyDescent="0.25"/>
    <row r="3655" ht="15.75" customHeight="1" x14ac:dyDescent="0.25"/>
    <row r="3656" ht="15.75" customHeight="1" x14ac:dyDescent="0.25"/>
    <row r="3657" ht="15.75" customHeight="1" x14ac:dyDescent="0.25"/>
    <row r="3658" ht="15.75" customHeight="1" x14ac:dyDescent="0.25"/>
    <row r="3659" ht="15.75" customHeight="1" x14ac:dyDescent="0.25"/>
    <row r="3660" ht="15.75" customHeight="1" x14ac:dyDescent="0.25"/>
    <row r="3661" ht="15.75" customHeight="1" x14ac:dyDescent="0.25"/>
    <row r="3662" ht="15.75" customHeight="1" x14ac:dyDescent="0.25"/>
    <row r="3663" ht="15.75" customHeight="1" x14ac:dyDescent="0.25"/>
    <row r="3664" ht="15.75" customHeight="1" x14ac:dyDescent="0.25"/>
    <row r="3665" ht="15.75" customHeight="1" x14ac:dyDescent="0.25"/>
    <row r="3666" ht="15.75" customHeight="1" x14ac:dyDescent="0.25"/>
    <row r="3667" ht="15.75" customHeight="1" x14ac:dyDescent="0.25"/>
    <row r="3668" ht="15.75" customHeight="1" x14ac:dyDescent="0.25"/>
    <row r="3669" ht="15.75" customHeight="1" x14ac:dyDescent="0.25"/>
    <row r="3670" ht="15.75" customHeight="1" x14ac:dyDescent="0.25"/>
    <row r="3671" ht="15.75" customHeight="1" x14ac:dyDescent="0.25"/>
    <row r="3672" ht="15.75" customHeight="1" x14ac:dyDescent="0.25"/>
    <row r="3673" ht="15.75" customHeight="1" x14ac:dyDescent="0.25"/>
    <row r="3674" ht="15.75" customHeight="1" x14ac:dyDescent="0.25"/>
    <row r="3675" ht="15.75" customHeight="1" x14ac:dyDescent="0.25"/>
    <row r="3676" ht="15.75" customHeight="1" x14ac:dyDescent="0.25"/>
    <row r="3677" ht="15.75" customHeight="1" x14ac:dyDescent="0.25"/>
    <row r="3678" ht="15.75" customHeight="1" x14ac:dyDescent="0.25"/>
    <row r="3679" ht="15.75" customHeight="1" x14ac:dyDescent="0.25"/>
    <row r="3680" ht="15.75" customHeight="1" x14ac:dyDescent="0.25"/>
    <row r="3681" ht="15.75" customHeight="1" x14ac:dyDescent="0.25"/>
    <row r="3682" ht="15.75" customHeight="1" x14ac:dyDescent="0.25"/>
    <row r="3683" ht="15.75" customHeight="1" x14ac:dyDescent="0.25"/>
    <row r="3684" ht="15.75" customHeight="1" x14ac:dyDescent="0.25"/>
    <row r="3685" ht="15.75" customHeight="1" x14ac:dyDescent="0.25"/>
    <row r="3686" ht="15.75" customHeight="1" x14ac:dyDescent="0.25"/>
    <row r="3687" ht="15.75" customHeight="1" x14ac:dyDescent="0.25"/>
    <row r="3688" ht="15.75" customHeight="1" x14ac:dyDescent="0.25"/>
    <row r="3689" ht="15.75" customHeight="1" x14ac:dyDescent="0.25"/>
    <row r="3690" ht="15.75" customHeight="1" x14ac:dyDescent="0.25"/>
    <row r="3691" ht="15.75" customHeight="1" x14ac:dyDescent="0.25"/>
    <row r="3692" ht="15.75" customHeight="1" x14ac:dyDescent="0.25"/>
    <row r="3693" ht="15.75" customHeight="1" x14ac:dyDescent="0.25"/>
    <row r="3694" ht="15.75" customHeight="1" x14ac:dyDescent="0.25"/>
    <row r="3695" ht="15.75" customHeight="1" x14ac:dyDescent="0.25"/>
    <row r="3696" ht="15.75" customHeight="1" x14ac:dyDescent="0.25"/>
    <row r="3697" ht="15.75" customHeight="1" x14ac:dyDescent="0.25"/>
    <row r="3698" ht="15.75" customHeight="1" x14ac:dyDescent="0.25"/>
    <row r="3699" ht="15.75" customHeight="1" x14ac:dyDescent="0.25"/>
    <row r="3700" ht="15.75" customHeight="1" x14ac:dyDescent="0.25"/>
    <row r="3701" ht="15.75" customHeight="1" x14ac:dyDescent="0.25"/>
    <row r="3702" ht="15.75" customHeight="1" x14ac:dyDescent="0.25"/>
    <row r="3703" ht="15.75" customHeight="1" x14ac:dyDescent="0.25"/>
    <row r="3704" ht="15.75" customHeight="1" x14ac:dyDescent="0.25"/>
    <row r="3705" ht="15.75" customHeight="1" x14ac:dyDescent="0.25"/>
    <row r="3706" ht="15.75" customHeight="1" x14ac:dyDescent="0.25"/>
    <row r="3707" ht="15.75" customHeight="1" x14ac:dyDescent="0.25"/>
    <row r="3708" ht="15.75" customHeight="1" x14ac:dyDescent="0.25"/>
    <row r="3709" ht="15.75" customHeight="1" x14ac:dyDescent="0.25"/>
    <row r="3710" ht="15.75" customHeight="1" x14ac:dyDescent="0.25"/>
    <row r="3711" ht="15.75" customHeight="1" x14ac:dyDescent="0.25"/>
    <row r="3712" ht="15.75" customHeight="1" x14ac:dyDescent="0.25"/>
    <row r="3713" ht="15.75" customHeight="1" x14ac:dyDescent="0.25"/>
    <row r="3714" ht="15.75" customHeight="1" x14ac:dyDescent="0.25"/>
    <row r="3715" ht="15.75" customHeight="1" x14ac:dyDescent="0.25"/>
    <row r="3716" ht="15.75" customHeight="1" x14ac:dyDescent="0.25"/>
    <row r="3717" ht="15.75" customHeight="1" x14ac:dyDescent="0.25"/>
    <row r="3718" ht="15.75" customHeight="1" x14ac:dyDescent="0.25"/>
    <row r="3719" ht="15.75" customHeight="1" x14ac:dyDescent="0.25"/>
    <row r="3720" ht="15.75" customHeight="1" x14ac:dyDescent="0.25"/>
    <row r="3721" ht="15.75" customHeight="1" x14ac:dyDescent="0.25"/>
    <row r="3722" ht="15.75" customHeight="1" x14ac:dyDescent="0.25"/>
    <row r="3723" ht="15.75" customHeight="1" x14ac:dyDescent="0.25"/>
    <row r="3724" ht="15.75" customHeight="1" x14ac:dyDescent="0.25"/>
    <row r="3725" ht="15.75" customHeight="1" x14ac:dyDescent="0.25"/>
    <row r="3726" ht="15.75" customHeight="1" x14ac:dyDescent="0.25"/>
    <row r="3727" ht="15.75" customHeight="1" x14ac:dyDescent="0.25"/>
    <row r="3728" ht="15.75" customHeight="1" x14ac:dyDescent="0.25"/>
    <row r="3729" ht="15.75" customHeight="1" x14ac:dyDescent="0.25"/>
    <row r="3730" ht="15.75" customHeight="1" x14ac:dyDescent="0.25"/>
    <row r="3731" ht="15.75" customHeight="1" x14ac:dyDescent="0.25"/>
    <row r="3732" ht="15.75" customHeight="1" x14ac:dyDescent="0.25"/>
    <row r="3733" ht="15.75" customHeight="1" x14ac:dyDescent="0.25"/>
    <row r="3734" ht="15.75" customHeight="1" x14ac:dyDescent="0.25"/>
    <row r="3735" ht="15.75" customHeight="1" x14ac:dyDescent="0.25"/>
    <row r="3736" ht="15.75" customHeight="1" x14ac:dyDescent="0.25"/>
    <row r="3737" ht="15.75" customHeight="1" x14ac:dyDescent="0.25"/>
    <row r="3738" ht="15.75" customHeight="1" x14ac:dyDescent="0.25"/>
    <row r="3739" ht="15.75" customHeight="1" x14ac:dyDescent="0.25"/>
    <row r="3740" ht="15.75" customHeight="1" x14ac:dyDescent="0.25"/>
    <row r="3741" ht="15.75" customHeight="1" x14ac:dyDescent="0.25"/>
    <row r="3742" ht="15.75" customHeight="1" x14ac:dyDescent="0.25"/>
    <row r="3743" ht="15.75" customHeight="1" x14ac:dyDescent="0.25"/>
    <row r="3744" ht="15.75" customHeight="1" x14ac:dyDescent="0.25"/>
    <row r="3745" ht="15.75" customHeight="1" x14ac:dyDescent="0.25"/>
    <row r="3746" ht="15.75" customHeight="1" x14ac:dyDescent="0.25"/>
    <row r="3747" ht="15.75" customHeight="1" x14ac:dyDescent="0.25"/>
    <row r="3748" ht="15.75" customHeight="1" x14ac:dyDescent="0.25"/>
    <row r="3749" ht="15.75" customHeight="1" x14ac:dyDescent="0.25"/>
    <row r="3750" ht="15.75" customHeight="1" x14ac:dyDescent="0.25"/>
    <row r="3751" ht="15.75" customHeight="1" x14ac:dyDescent="0.25"/>
    <row r="3752" ht="15.75" customHeight="1" x14ac:dyDescent="0.25"/>
    <row r="3753" ht="15.75" customHeight="1" x14ac:dyDescent="0.25"/>
    <row r="3754" ht="15.75" customHeight="1" x14ac:dyDescent="0.25"/>
    <row r="3755" ht="15.75" customHeight="1" x14ac:dyDescent="0.25"/>
    <row r="3756" ht="15.75" customHeight="1" x14ac:dyDescent="0.25"/>
    <row r="3757" ht="15.75" customHeight="1" x14ac:dyDescent="0.25"/>
    <row r="3758" ht="15.75" customHeight="1" x14ac:dyDescent="0.25"/>
    <row r="3759" ht="15.75" customHeight="1" x14ac:dyDescent="0.25"/>
    <row r="3760" ht="15.75" customHeight="1" x14ac:dyDescent="0.25"/>
    <row r="3761" ht="15.75" customHeight="1" x14ac:dyDescent="0.25"/>
    <row r="3762" ht="15.75" customHeight="1" x14ac:dyDescent="0.25"/>
    <row r="3763" ht="15.75" customHeight="1" x14ac:dyDescent="0.25"/>
    <row r="3764" ht="15.75" customHeight="1" x14ac:dyDescent="0.25"/>
    <row r="3765" ht="15.75" customHeight="1" x14ac:dyDescent="0.25"/>
    <row r="3766" ht="15.75" customHeight="1" x14ac:dyDescent="0.25"/>
    <row r="3767" ht="15.75" customHeight="1" x14ac:dyDescent="0.25"/>
    <row r="3768" ht="15.75" customHeight="1" x14ac:dyDescent="0.25"/>
    <row r="3769" ht="15.75" customHeight="1" x14ac:dyDescent="0.25"/>
    <row r="3770" ht="15.75" customHeight="1" x14ac:dyDescent="0.25"/>
    <row r="3771" ht="15.75" customHeight="1" x14ac:dyDescent="0.25"/>
    <row r="3772" ht="15.75" customHeight="1" x14ac:dyDescent="0.25"/>
    <row r="3773" ht="15.75" customHeight="1" x14ac:dyDescent="0.25"/>
    <row r="3774" ht="15.75" customHeight="1" x14ac:dyDescent="0.25"/>
    <row r="3775" ht="15.75" customHeight="1" x14ac:dyDescent="0.25"/>
    <row r="3776" ht="15.75" customHeight="1" x14ac:dyDescent="0.25"/>
    <row r="3777" ht="15.75" customHeight="1" x14ac:dyDescent="0.25"/>
    <row r="3778" ht="15.75" customHeight="1" x14ac:dyDescent="0.25"/>
    <row r="3779" ht="15.75" customHeight="1" x14ac:dyDescent="0.25"/>
    <row r="3780" ht="15.75" customHeight="1" x14ac:dyDescent="0.25"/>
    <row r="3781" ht="15.75" customHeight="1" x14ac:dyDescent="0.25"/>
    <row r="3782" ht="15.75" customHeight="1" x14ac:dyDescent="0.25"/>
    <row r="3783" ht="15.75" customHeight="1" x14ac:dyDescent="0.25"/>
    <row r="3784" ht="15.75" customHeight="1" x14ac:dyDescent="0.25"/>
    <row r="3785" ht="15.75" customHeight="1" x14ac:dyDescent="0.25"/>
    <row r="3786" ht="15.75" customHeight="1" x14ac:dyDescent="0.25"/>
    <row r="3787" ht="15.75" customHeight="1" x14ac:dyDescent="0.25"/>
    <row r="3788" ht="15.75" customHeight="1" x14ac:dyDescent="0.25"/>
    <row r="3789" ht="15.75" customHeight="1" x14ac:dyDescent="0.25"/>
    <row r="3790" ht="15.75" customHeight="1" x14ac:dyDescent="0.25"/>
    <row r="3791" ht="15.75" customHeight="1" x14ac:dyDescent="0.25"/>
    <row r="3792" ht="15.75" customHeight="1" x14ac:dyDescent="0.25"/>
    <row r="3793" ht="15.75" customHeight="1" x14ac:dyDescent="0.25"/>
    <row r="3794" ht="15.75" customHeight="1" x14ac:dyDescent="0.25"/>
    <row r="3795" ht="15.75" customHeight="1" x14ac:dyDescent="0.25"/>
    <row r="3796" ht="15.75" customHeight="1" x14ac:dyDescent="0.25"/>
    <row r="3797" ht="15.75" customHeight="1" x14ac:dyDescent="0.25"/>
    <row r="3798" ht="15.75" customHeight="1" x14ac:dyDescent="0.25"/>
    <row r="3799" ht="15.75" customHeight="1" x14ac:dyDescent="0.25"/>
    <row r="3800" ht="15.75" customHeight="1" x14ac:dyDescent="0.25"/>
    <row r="3801" ht="15.75" customHeight="1" x14ac:dyDescent="0.25"/>
    <row r="3802" ht="15.75" customHeight="1" x14ac:dyDescent="0.25"/>
    <row r="3803" ht="15.75" customHeight="1" x14ac:dyDescent="0.25"/>
    <row r="3804" ht="15.75" customHeight="1" x14ac:dyDescent="0.25"/>
    <row r="3805" ht="15.75" customHeight="1" x14ac:dyDescent="0.25"/>
    <row r="3806" ht="15.75" customHeight="1" x14ac:dyDescent="0.25"/>
    <row r="3807" ht="15.75" customHeight="1" x14ac:dyDescent="0.25"/>
    <row r="3808" ht="15.75" customHeight="1" x14ac:dyDescent="0.25"/>
    <row r="3809" ht="15.75" customHeight="1" x14ac:dyDescent="0.25"/>
    <row r="3810" ht="15.75" customHeight="1" x14ac:dyDescent="0.25"/>
    <row r="3811" ht="15.75" customHeight="1" x14ac:dyDescent="0.25"/>
    <row r="3812" ht="15.75" customHeight="1" x14ac:dyDescent="0.25"/>
    <row r="3813" ht="15.75" customHeight="1" x14ac:dyDescent="0.25"/>
    <row r="3814" ht="15.75" customHeight="1" x14ac:dyDescent="0.25"/>
    <row r="3815" ht="15.75" customHeight="1" x14ac:dyDescent="0.25"/>
    <row r="3816" ht="15.75" customHeight="1" x14ac:dyDescent="0.25"/>
    <row r="3817" ht="15.75" customHeight="1" x14ac:dyDescent="0.25"/>
    <row r="3818" ht="15.75" customHeight="1" x14ac:dyDescent="0.25"/>
    <row r="3819" ht="15.75" customHeight="1" x14ac:dyDescent="0.25"/>
    <row r="3820" ht="15.75" customHeight="1" x14ac:dyDescent="0.25"/>
    <row r="3821" ht="15.75" customHeight="1" x14ac:dyDescent="0.25"/>
    <row r="3822" ht="15.75" customHeight="1" x14ac:dyDescent="0.25"/>
    <row r="3823" ht="15.75" customHeight="1" x14ac:dyDescent="0.25"/>
    <row r="3824" ht="15.75" customHeight="1" x14ac:dyDescent="0.25"/>
    <row r="3825" ht="15.75" customHeight="1" x14ac:dyDescent="0.25"/>
    <row r="3826" ht="15.75" customHeight="1" x14ac:dyDescent="0.25"/>
    <row r="3827" ht="15.75" customHeight="1" x14ac:dyDescent="0.25"/>
    <row r="3828" ht="15.75" customHeight="1" x14ac:dyDescent="0.25"/>
    <row r="3829" ht="15.75" customHeight="1" x14ac:dyDescent="0.25"/>
    <row r="3830" ht="15.75" customHeight="1" x14ac:dyDescent="0.25"/>
    <row r="3831" ht="15.75" customHeight="1" x14ac:dyDescent="0.25"/>
    <row r="3832" ht="15.75" customHeight="1" x14ac:dyDescent="0.25"/>
    <row r="3833" ht="15.75" customHeight="1" x14ac:dyDescent="0.25"/>
    <row r="3834" ht="15.75" customHeight="1" x14ac:dyDescent="0.25"/>
    <row r="3835" ht="15.75" customHeight="1" x14ac:dyDescent="0.25"/>
    <row r="3836" ht="15.75" customHeight="1" x14ac:dyDescent="0.25"/>
    <row r="3837" ht="15.75" customHeight="1" x14ac:dyDescent="0.25"/>
    <row r="3838" ht="15.75" customHeight="1" x14ac:dyDescent="0.25"/>
    <row r="3839" ht="15.75" customHeight="1" x14ac:dyDescent="0.25"/>
    <row r="3840" ht="15.75" customHeight="1" x14ac:dyDescent="0.25"/>
    <row r="3841" ht="15.75" customHeight="1" x14ac:dyDescent="0.25"/>
    <row r="3842" ht="15.75" customHeight="1" x14ac:dyDescent="0.25"/>
    <row r="3843" ht="15.75" customHeight="1" x14ac:dyDescent="0.25"/>
    <row r="3844" ht="15.75" customHeight="1" x14ac:dyDescent="0.25"/>
    <row r="3845" ht="15.75" customHeight="1" x14ac:dyDescent="0.25"/>
    <row r="3846" ht="15.75" customHeight="1" x14ac:dyDescent="0.25"/>
    <row r="3847" ht="15.75" customHeight="1" x14ac:dyDescent="0.25"/>
    <row r="3848" ht="15.75" customHeight="1" x14ac:dyDescent="0.25"/>
    <row r="3849" ht="15.75" customHeight="1" x14ac:dyDescent="0.25"/>
    <row r="3850" ht="15.75" customHeight="1" x14ac:dyDescent="0.25"/>
    <row r="3851" ht="15.75" customHeight="1" x14ac:dyDescent="0.25"/>
    <row r="3852" ht="15.75" customHeight="1" x14ac:dyDescent="0.25"/>
    <row r="3853" ht="15.75" customHeight="1" x14ac:dyDescent="0.25"/>
    <row r="3854" ht="15.75" customHeight="1" x14ac:dyDescent="0.25"/>
    <row r="3855" ht="15.75" customHeight="1" x14ac:dyDescent="0.25"/>
    <row r="3856" ht="15.75" customHeight="1" x14ac:dyDescent="0.25"/>
    <row r="3857" ht="15.75" customHeight="1" x14ac:dyDescent="0.25"/>
    <row r="3858" ht="15.75" customHeight="1" x14ac:dyDescent="0.25"/>
    <row r="3859" ht="15.75" customHeight="1" x14ac:dyDescent="0.25"/>
    <row r="3860" ht="15.75" customHeight="1" x14ac:dyDescent="0.25"/>
    <row r="3861" ht="15.75" customHeight="1" x14ac:dyDescent="0.25"/>
    <row r="3862" ht="15.75" customHeight="1" x14ac:dyDescent="0.25"/>
    <row r="3863" ht="15.75" customHeight="1" x14ac:dyDescent="0.25"/>
    <row r="3864" ht="15.75" customHeight="1" x14ac:dyDescent="0.25"/>
    <row r="3865" ht="15.75" customHeight="1" x14ac:dyDescent="0.25"/>
    <row r="3866" ht="15.75" customHeight="1" x14ac:dyDescent="0.25"/>
    <row r="3867" ht="15.75" customHeight="1" x14ac:dyDescent="0.25"/>
    <row r="3868" ht="15.75" customHeight="1" x14ac:dyDescent="0.25"/>
    <row r="3869" ht="15.75" customHeight="1" x14ac:dyDescent="0.25"/>
    <row r="3870" ht="15.75" customHeight="1" x14ac:dyDescent="0.25"/>
    <row r="3871" ht="15.75" customHeight="1" x14ac:dyDescent="0.25"/>
    <row r="3872" ht="15.75" customHeight="1" x14ac:dyDescent="0.25"/>
    <row r="3873" ht="15.75" customHeight="1" x14ac:dyDescent="0.25"/>
    <row r="3874" ht="15.75" customHeight="1" x14ac:dyDescent="0.25"/>
    <row r="3875" ht="15.75" customHeight="1" x14ac:dyDescent="0.25"/>
    <row r="3876" ht="15.75" customHeight="1" x14ac:dyDescent="0.25"/>
    <row r="3877" ht="15.75" customHeight="1" x14ac:dyDescent="0.25"/>
    <row r="3878" ht="15.75" customHeight="1" x14ac:dyDescent="0.25"/>
    <row r="3879" ht="15.75" customHeight="1" x14ac:dyDescent="0.25"/>
    <row r="3880" ht="15.75" customHeight="1" x14ac:dyDescent="0.25"/>
    <row r="3881" ht="15.75" customHeight="1" x14ac:dyDescent="0.25"/>
    <row r="3882" ht="15.75" customHeight="1" x14ac:dyDescent="0.25"/>
    <row r="3883" ht="15.75" customHeight="1" x14ac:dyDescent="0.25"/>
    <row r="3884" ht="15.75" customHeight="1" x14ac:dyDescent="0.25"/>
    <row r="3885" ht="15.75" customHeight="1" x14ac:dyDescent="0.25"/>
    <row r="3886" ht="15.75" customHeight="1" x14ac:dyDescent="0.25"/>
    <row r="3887" ht="15.75" customHeight="1" x14ac:dyDescent="0.25"/>
    <row r="3888" ht="15.75" customHeight="1" x14ac:dyDescent="0.25"/>
    <row r="3889" ht="15.75" customHeight="1" x14ac:dyDescent="0.25"/>
    <row r="3890" ht="15.75" customHeight="1" x14ac:dyDescent="0.25"/>
    <row r="3891" ht="15.75" customHeight="1" x14ac:dyDescent="0.25"/>
    <row r="3892" ht="15.75" customHeight="1" x14ac:dyDescent="0.25"/>
    <row r="3893" ht="15.75" customHeight="1" x14ac:dyDescent="0.25"/>
    <row r="3894" ht="15.75" customHeight="1" x14ac:dyDescent="0.25"/>
    <row r="3895" ht="15.75" customHeight="1" x14ac:dyDescent="0.25"/>
    <row r="3896" ht="15.75" customHeight="1" x14ac:dyDescent="0.25"/>
    <row r="3897" ht="15.75" customHeight="1" x14ac:dyDescent="0.25"/>
    <row r="3898" ht="15.75" customHeight="1" x14ac:dyDescent="0.25"/>
    <row r="3899" ht="15.75" customHeight="1" x14ac:dyDescent="0.25"/>
    <row r="3900" ht="15.75" customHeight="1" x14ac:dyDescent="0.25"/>
    <row r="3901" ht="15.75" customHeight="1" x14ac:dyDescent="0.25"/>
    <row r="3902" ht="15.75" customHeight="1" x14ac:dyDescent="0.25"/>
    <row r="3903" ht="15.75" customHeight="1" x14ac:dyDescent="0.25"/>
    <row r="3904" ht="15.75" customHeight="1" x14ac:dyDescent="0.25"/>
    <row r="3905" ht="15.75" customHeight="1" x14ac:dyDescent="0.25"/>
    <row r="3906" ht="15.75" customHeight="1" x14ac:dyDescent="0.25"/>
    <row r="3907" ht="15.75" customHeight="1" x14ac:dyDescent="0.25"/>
    <row r="3908" ht="15.75" customHeight="1" x14ac:dyDescent="0.25"/>
    <row r="3909" ht="15.75" customHeight="1" x14ac:dyDescent="0.25"/>
    <row r="3910" ht="15.75" customHeight="1" x14ac:dyDescent="0.25"/>
    <row r="3911" ht="15.75" customHeight="1" x14ac:dyDescent="0.25"/>
    <row r="3912" ht="15.75" customHeight="1" x14ac:dyDescent="0.25"/>
    <row r="3913" ht="15.75" customHeight="1" x14ac:dyDescent="0.25"/>
    <row r="3914" ht="15.75" customHeight="1" x14ac:dyDescent="0.25"/>
    <row r="3915" ht="15.75" customHeight="1" x14ac:dyDescent="0.25"/>
    <row r="3916" ht="15.75" customHeight="1" x14ac:dyDescent="0.25"/>
    <row r="3917" ht="15.75" customHeight="1" x14ac:dyDescent="0.25"/>
    <row r="3918" ht="15.75" customHeight="1" x14ac:dyDescent="0.25"/>
    <row r="3919" ht="15.75" customHeight="1" x14ac:dyDescent="0.25"/>
    <row r="3920" ht="15.75" customHeight="1" x14ac:dyDescent="0.25"/>
    <row r="3921" ht="15.75" customHeight="1" x14ac:dyDescent="0.25"/>
    <row r="3922" ht="15.75" customHeight="1" x14ac:dyDescent="0.25"/>
    <row r="3923" ht="15.75" customHeight="1" x14ac:dyDescent="0.25"/>
    <row r="3924" ht="15.75" customHeight="1" x14ac:dyDescent="0.25"/>
    <row r="3925" ht="15.75" customHeight="1" x14ac:dyDescent="0.25"/>
    <row r="3926" ht="15.75" customHeight="1" x14ac:dyDescent="0.25"/>
    <row r="3927" ht="15.75" customHeight="1" x14ac:dyDescent="0.25"/>
    <row r="3928" ht="15.75" customHeight="1" x14ac:dyDescent="0.25"/>
    <row r="3929" ht="15.75" customHeight="1" x14ac:dyDescent="0.25"/>
    <row r="3930" ht="15.75" customHeight="1" x14ac:dyDescent="0.25"/>
    <row r="3931" ht="15.75" customHeight="1" x14ac:dyDescent="0.25"/>
    <row r="3932" ht="15.75" customHeight="1" x14ac:dyDescent="0.25"/>
    <row r="3933" ht="15.75" customHeight="1" x14ac:dyDescent="0.25"/>
    <row r="3934" ht="15.75" customHeight="1" x14ac:dyDescent="0.25"/>
    <row r="3935" ht="15.75" customHeight="1" x14ac:dyDescent="0.25"/>
    <row r="3936" ht="15.75" customHeight="1" x14ac:dyDescent="0.25"/>
    <row r="3937" ht="15.75" customHeight="1" x14ac:dyDescent="0.25"/>
    <row r="3938" ht="15.75" customHeight="1" x14ac:dyDescent="0.25"/>
    <row r="3939" ht="15.75" customHeight="1" x14ac:dyDescent="0.25"/>
    <row r="3940" ht="15.75" customHeight="1" x14ac:dyDescent="0.25"/>
    <row r="3941" ht="15.75" customHeight="1" x14ac:dyDescent="0.25"/>
    <row r="3942" ht="15.75" customHeight="1" x14ac:dyDescent="0.25"/>
    <row r="3943" ht="15.75" customHeight="1" x14ac:dyDescent="0.25"/>
    <row r="3944" ht="15.75" customHeight="1" x14ac:dyDescent="0.25"/>
    <row r="3945" ht="15.75" customHeight="1" x14ac:dyDescent="0.25"/>
    <row r="3946" ht="15.75" customHeight="1" x14ac:dyDescent="0.25"/>
    <row r="3947" ht="15.75" customHeight="1" x14ac:dyDescent="0.25"/>
    <row r="3948" ht="15.75" customHeight="1" x14ac:dyDescent="0.25"/>
    <row r="3949" ht="15.75" customHeight="1" x14ac:dyDescent="0.25"/>
    <row r="3950" ht="15.75" customHeight="1" x14ac:dyDescent="0.25"/>
    <row r="3951" ht="15.75" customHeight="1" x14ac:dyDescent="0.25"/>
    <row r="3952" ht="15.75" customHeight="1" x14ac:dyDescent="0.25"/>
    <row r="3953" ht="15.75" customHeight="1" x14ac:dyDescent="0.25"/>
    <row r="3954" ht="15.75" customHeight="1" x14ac:dyDescent="0.25"/>
    <row r="3955" ht="15.75" customHeight="1" x14ac:dyDescent="0.25"/>
    <row r="3956" ht="15.75" customHeight="1" x14ac:dyDescent="0.25"/>
    <row r="3957" ht="15.75" customHeight="1" x14ac:dyDescent="0.25"/>
    <row r="3958" ht="15.75" customHeight="1" x14ac:dyDescent="0.25"/>
    <row r="3959" ht="15.75" customHeight="1" x14ac:dyDescent="0.25"/>
    <row r="3960" ht="15.75" customHeight="1" x14ac:dyDescent="0.25"/>
    <row r="3961" ht="15.75" customHeight="1" x14ac:dyDescent="0.25"/>
    <row r="3962" ht="15.75" customHeight="1" x14ac:dyDescent="0.25"/>
    <row r="3963" ht="15.75" customHeight="1" x14ac:dyDescent="0.25"/>
    <row r="3964" ht="15.75" customHeight="1" x14ac:dyDescent="0.25"/>
    <row r="3965" ht="15.75" customHeight="1" x14ac:dyDescent="0.25"/>
    <row r="3966" ht="15.75" customHeight="1" x14ac:dyDescent="0.25"/>
    <row r="3967" ht="15.75" customHeight="1" x14ac:dyDescent="0.25"/>
    <row r="3968" ht="15.75" customHeight="1" x14ac:dyDescent="0.25"/>
    <row r="3969" ht="15.75" customHeight="1" x14ac:dyDescent="0.25"/>
    <row r="3970" ht="15.75" customHeight="1" x14ac:dyDescent="0.25"/>
    <row r="3971" ht="15.75" customHeight="1" x14ac:dyDescent="0.25"/>
    <row r="3972" ht="15.75" customHeight="1" x14ac:dyDescent="0.25"/>
    <row r="3973" ht="15.75" customHeight="1" x14ac:dyDescent="0.25"/>
    <row r="3974" ht="15.75" customHeight="1" x14ac:dyDescent="0.25"/>
    <row r="3975" ht="15.75" customHeight="1" x14ac:dyDescent="0.25"/>
    <row r="3976" ht="15.75" customHeight="1" x14ac:dyDescent="0.25"/>
    <row r="3977" ht="15.75" customHeight="1" x14ac:dyDescent="0.25"/>
    <row r="3978" ht="15.75" customHeight="1" x14ac:dyDescent="0.25"/>
    <row r="3979" ht="15.75" customHeight="1" x14ac:dyDescent="0.25"/>
    <row r="3980" ht="15.75" customHeight="1" x14ac:dyDescent="0.25"/>
    <row r="3981" ht="15.75" customHeight="1" x14ac:dyDescent="0.25"/>
    <row r="3982" ht="15.75" customHeight="1" x14ac:dyDescent="0.25"/>
    <row r="3983" ht="15.75" customHeight="1" x14ac:dyDescent="0.25"/>
    <row r="3984" ht="15.75" customHeight="1" x14ac:dyDescent="0.25"/>
    <row r="3985" ht="15.75" customHeight="1" x14ac:dyDescent="0.25"/>
    <row r="3986" ht="15.75" customHeight="1" x14ac:dyDescent="0.25"/>
    <row r="3987" ht="15.75" customHeight="1" x14ac:dyDescent="0.25"/>
    <row r="3988" ht="15.75" customHeight="1" x14ac:dyDescent="0.25"/>
    <row r="3989" ht="15.75" customHeight="1" x14ac:dyDescent="0.25"/>
    <row r="3990" ht="15.75" customHeight="1" x14ac:dyDescent="0.25"/>
    <row r="3991" ht="15.75" customHeight="1" x14ac:dyDescent="0.25"/>
    <row r="3992" ht="15.75" customHeight="1" x14ac:dyDescent="0.25"/>
    <row r="3993" ht="15.75" customHeight="1" x14ac:dyDescent="0.25"/>
    <row r="3994" ht="15.75" customHeight="1" x14ac:dyDescent="0.25"/>
    <row r="3995" ht="15.75" customHeight="1" x14ac:dyDescent="0.25"/>
    <row r="3996" ht="15.75" customHeight="1" x14ac:dyDescent="0.25"/>
    <row r="3997" ht="15.75" customHeight="1" x14ac:dyDescent="0.25"/>
    <row r="3998" ht="15.75" customHeight="1" x14ac:dyDescent="0.25"/>
    <row r="3999" ht="15.75" customHeight="1" x14ac:dyDescent="0.25"/>
    <row r="4000" ht="15.75" customHeight="1" x14ac:dyDescent="0.25"/>
    <row r="4001" ht="15.75" customHeight="1" x14ac:dyDescent="0.25"/>
    <row r="4002" ht="15.75" customHeight="1" x14ac:dyDescent="0.25"/>
    <row r="4003" ht="15.75" customHeight="1" x14ac:dyDescent="0.25"/>
    <row r="4004" ht="15.75" customHeight="1" x14ac:dyDescent="0.25"/>
    <row r="4005" ht="15.75" customHeight="1" x14ac:dyDescent="0.25"/>
    <row r="4006" ht="15.75" customHeight="1" x14ac:dyDescent="0.25"/>
    <row r="4007" ht="15.75" customHeight="1" x14ac:dyDescent="0.25"/>
    <row r="4008" ht="15.75" customHeight="1" x14ac:dyDescent="0.25"/>
    <row r="4009" ht="15.75" customHeight="1" x14ac:dyDescent="0.25"/>
    <row r="4010" ht="15.75" customHeight="1" x14ac:dyDescent="0.25"/>
    <row r="4011" ht="15.75" customHeight="1" x14ac:dyDescent="0.25"/>
    <row r="4012" ht="15.75" customHeight="1" x14ac:dyDescent="0.25"/>
    <row r="4013" ht="15.75" customHeight="1" x14ac:dyDescent="0.25"/>
    <row r="4014" ht="15.75" customHeight="1" x14ac:dyDescent="0.25"/>
    <row r="4015" ht="15.75" customHeight="1" x14ac:dyDescent="0.25"/>
    <row r="4016" ht="15.75" customHeight="1" x14ac:dyDescent="0.25"/>
    <row r="4017" ht="15.75" customHeight="1" x14ac:dyDescent="0.25"/>
    <row r="4018" ht="15.75" customHeight="1" x14ac:dyDescent="0.25"/>
    <row r="4019" ht="15.75" customHeight="1" x14ac:dyDescent="0.25"/>
    <row r="4020" ht="15.75" customHeight="1" x14ac:dyDescent="0.25"/>
    <row r="4021" ht="15.75" customHeight="1" x14ac:dyDescent="0.25"/>
    <row r="4022" ht="15.75" customHeight="1" x14ac:dyDescent="0.25"/>
    <row r="4023" ht="15.75" customHeight="1" x14ac:dyDescent="0.25"/>
    <row r="4024" ht="15.75" customHeight="1" x14ac:dyDescent="0.25"/>
    <row r="4025" ht="15.75" customHeight="1" x14ac:dyDescent="0.25"/>
    <row r="4026" ht="15.75" customHeight="1" x14ac:dyDescent="0.25"/>
    <row r="4027" ht="15.75" customHeight="1" x14ac:dyDescent="0.25"/>
    <row r="4028" ht="15.75" customHeight="1" x14ac:dyDescent="0.25"/>
    <row r="4029" ht="15.75" customHeight="1" x14ac:dyDescent="0.25"/>
    <row r="4030" ht="15.75" customHeight="1" x14ac:dyDescent="0.25"/>
    <row r="4031" ht="15.75" customHeight="1" x14ac:dyDescent="0.25"/>
    <row r="4032" ht="15.75" customHeight="1" x14ac:dyDescent="0.25"/>
    <row r="4033" ht="15.75" customHeight="1" x14ac:dyDescent="0.25"/>
    <row r="4034" ht="15.75" customHeight="1" x14ac:dyDescent="0.25"/>
    <row r="4035" ht="15.75" customHeight="1" x14ac:dyDescent="0.25"/>
    <row r="4036" ht="15.75" customHeight="1" x14ac:dyDescent="0.25"/>
    <row r="4037" ht="15.75" customHeight="1" x14ac:dyDescent="0.25"/>
    <row r="4038" ht="15.75" customHeight="1" x14ac:dyDescent="0.25"/>
    <row r="4039" ht="15.75" customHeight="1" x14ac:dyDescent="0.25"/>
    <row r="4040" ht="15.75" customHeight="1" x14ac:dyDescent="0.25"/>
    <row r="4041" ht="15.75" customHeight="1" x14ac:dyDescent="0.25"/>
    <row r="4042" ht="15.75" customHeight="1" x14ac:dyDescent="0.25"/>
    <row r="4043" ht="15.75" customHeight="1" x14ac:dyDescent="0.25"/>
    <row r="4044" ht="15.75" customHeight="1" x14ac:dyDescent="0.25"/>
    <row r="4045" ht="15.75" customHeight="1" x14ac:dyDescent="0.25"/>
    <row r="4046" ht="15.75" customHeight="1" x14ac:dyDescent="0.25"/>
    <row r="4047" ht="15.75" customHeight="1" x14ac:dyDescent="0.25"/>
    <row r="4048" ht="15.75" customHeight="1" x14ac:dyDescent="0.25"/>
    <row r="4049" ht="15.75" customHeight="1" x14ac:dyDescent="0.25"/>
    <row r="4050" ht="15.75" customHeight="1" x14ac:dyDescent="0.25"/>
    <row r="4051" ht="15.75" customHeight="1" x14ac:dyDescent="0.25"/>
    <row r="4052" ht="15.75" customHeight="1" x14ac:dyDescent="0.25"/>
    <row r="4053" ht="15.75" customHeight="1" x14ac:dyDescent="0.25"/>
    <row r="4054" ht="15.75" customHeight="1" x14ac:dyDescent="0.25"/>
    <row r="4055" ht="15.75" customHeight="1" x14ac:dyDescent="0.25"/>
    <row r="4056" ht="15.75" customHeight="1" x14ac:dyDescent="0.25"/>
    <row r="4057" ht="15.75" customHeight="1" x14ac:dyDescent="0.25"/>
    <row r="4058" ht="15.75" customHeight="1" x14ac:dyDescent="0.25"/>
    <row r="4059" ht="15.75" customHeight="1" x14ac:dyDescent="0.25"/>
    <row r="4060" ht="15.75" customHeight="1" x14ac:dyDescent="0.25"/>
    <row r="4061" ht="15.75" customHeight="1" x14ac:dyDescent="0.25"/>
    <row r="4062" ht="15.75" customHeight="1" x14ac:dyDescent="0.25"/>
    <row r="4063" ht="15.75" customHeight="1" x14ac:dyDescent="0.25"/>
    <row r="4064" ht="15.75" customHeight="1" x14ac:dyDescent="0.25"/>
    <row r="4065" ht="15.75" customHeight="1" x14ac:dyDescent="0.25"/>
    <row r="4066" ht="15.75" customHeight="1" x14ac:dyDescent="0.25"/>
    <row r="4067" ht="15.75" customHeight="1" x14ac:dyDescent="0.25"/>
    <row r="4068" ht="15.75" customHeight="1" x14ac:dyDescent="0.25"/>
    <row r="4069" ht="15.75" customHeight="1" x14ac:dyDescent="0.25"/>
    <row r="4070" ht="15.75" customHeight="1" x14ac:dyDescent="0.25"/>
    <row r="4071" ht="15.75" customHeight="1" x14ac:dyDescent="0.25"/>
    <row r="4072" ht="15.75" customHeight="1" x14ac:dyDescent="0.25"/>
    <row r="4073" ht="15.75" customHeight="1" x14ac:dyDescent="0.25"/>
    <row r="4074" ht="15.75" customHeight="1" x14ac:dyDescent="0.25"/>
    <row r="4075" ht="15.75" customHeight="1" x14ac:dyDescent="0.25"/>
    <row r="4076" ht="15.75" customHeight="1" x14ac:dyDescent="0.25"/>
    <row r="4077" ht="15.75" customHeight="1" x14ac:dyDescent="0.25"/>
    <row r="4078" ht="15.75" customHeight="1" x14ac:dyDescent="0.25"/>
    <row r="4079" ht="15.75" customHeight="1" x14ac:dyDescent="0.25"/>
    <row r="4080" ht="15.75" customHeight="1" x14ac:dyDescent="0.25"/>
    <row r="4081" ht="15.75" customHeight="1" x14ac:dyDescent="0.25"/>
    <row r="4082" ht="15.75" customHeight="1" x14ac:dyDescent="0.25"/>
    <row r="4083" ht="15.75" customHeight="1" x14ac:dyDescent="0.25"/>
    <row r="4084" ht="15.75" customHeight="1" x14ac:dyDescent="0.25"/>
    <row r="4085" ht="15.75" customHeight="1" x14ac:dyDescent="0.25"/>
    <row r="4086" ht="15.75" customHeight="1" x14ac:dyDescent="0.25"/>
    <row r="4087" ht="15.75" customHeight="1" x14ac:dyDescent="0.25"/>
    <row r="4088" ht="15.75" customHeight="1" x14ac:dyDescent="0.25"/>
    <row r="4089" ht="15.75" customHeight="1" x14ac:dyDescent="0.25"/>
    <row r="4090" ht="15.75" customHeight="1" x14ac:dyDescent="0.25"/>
    <row r="4091" ht="15.75" customHeight="1" x14ac:dyDescent="0.25"/>
    <row r="4092" ht="15.75" customHeight="1" x14ac:dyDescent="0.25"/>
    <row r="4093" ht="15.75" customHeight="1" x14ac:dyDescent="0.25"/>
    <row r="4094" ht="15.75" customHeight="1" x14ac:dyDescent="0.25"/>
    <row r="4095" ht="15.75" customHeight="1" x14ac:dyDescent="0.25"/>
    <row r="4096" ht="15.75" customHeight="1" x14ac:dyDescent="0.25"/>
    <row r="4097" ht="15.75" customHeight="1" x14ac:dyDescent="0.25"/>
    <row r="4098" ht="15.75" customHeight="1" x14ac:dyDescent="0.25"/>
    <row r="4099" ht="15.75" customHeight="1" x14ac:dyDescent="0.25"/>
    <row r="4100" ht="15.75" customHeight="1" x14ac:dyDescent="0.25"/>
    <row r="4101" ht="15.75" customHeight="1" x14ac:dyDescent="0.25"/>
    <row r="4102" ht="15.75" customHeight="1" x14ac:dyDescent="0.25"/>
    <row r="4103" ht="15.75" customHeight="1" x14ac:dyDescent="0.25"/>
    <row r="4104" ht="15.75" customHeight="1" x14ac:dyDescent="0.25"/>
    <row r="4105" ht="15.75" customHeight="1" x14ac:dyDescent="0.25"/>
    <row r="4106" ht="15.75" customHeight="1" x14ac:dyDescent="0.25"/>
    <row r="4107" ht="15.75" customHeight="1" x14ac:dyDescent="0.25"/>
    <row r="4108" ht="15.75" customHeight="1" x14ac:dyDescent="0.25"/>
    <row r="4109" ht="15.75" customHeight="1" x14ac:dyDescent="0.25"/>
    <row r="4110" ht="15.75" customHeight="1" x14ac:dyDescent="0.25"/>
    <row r="4111" ht="15.75" customHeight="1" x14ac:dyDescent="0.25"/>
    <row r="4112" ht="15.75" customHeight="1" x14ac:dyDescent="0.25"/>
    <row r="4113" ht="15.75" customHeight="1" x14ac:dyDescent="0.25"/>
    <row r="4114" ht="15.75" customHeight="1" x14ac:dyDescent="0.25"/>
    <row r="4115" ht="15.75" customHeight="1" x14ac:dyDescent="0.25"/>
    <row r="4116" ht="15.75" customHeight="1" x14ac:dyDescent="0.25"/>
    <row r="4117" ht="15.75" customHeight="1" x14ac:dyDescent="0.25"/>
    <row r="4118" ht="15.75" customHeight="1" x14ac:dyDescent="0.25"/>
    <row r="4119" ht="15.75" customHeight="1" x14ac:dyDescent="0.25"/>
    <row r="4120" ht="15.75" customHeight="1" x14ac:dyDescent="0.25"/>
    <row r="4121" ht="15.75" customHeight="1" x14ac:dyDescent="0.25"/>
    <row r="4122" ht="15.75" customHeight="1" x14ac:dyDescent="0.25"/>
    <row r="4123" ht="15.75" customHeight="1" x14ac:dyDescent="0.25"/>
    <row r="4124" ht="15.75" customHeight="1" x14ac:dyDescent="0.25"/>
    <row r="4125" ht="15.75" customHeight="1" x14ac:dyDescent="0.25"/>
    <row r="4126" ht="15.75" customHeight="1" x14ac:dyDescent="0.25"/>
    <row r="4127" ht="15.75" customHeight="1" x14ac:dyDescent="0.25"/>
    <row r="4128" ht="15.75" customHeight="1" x14ac:dyDescent="0.25"/>
    <row r="4129" ht="15.75" customHeight="1" x14ac:dyDescent="0.25"/>
    <row r="4130" ht="15.75" customHeight="1" x14ac:dyDescent="0.25"/>
    <row r="4131" ht="15.75" customHeight="1" x14ac:dyDescent="0.25"/>
    <row r="4132" ht="15.75" customHeight="1" x14ac:dyDescent="0.25"/>
    <row r="4133" ht="15.75" customHeight="1" x14ac:dyDescent="0.25"/>
    <row r="4134" ht="15.75" customHeight="1" x14ac:dyDescent="0.25"/>
    <row r="4135" ht="15.75" customHeight="1" x14ac:dyDescent="0.25"/>
    <row r="4136" ht="15.75" customHeight="1" x14ac:dyDescent="0.25"/>
    <row r="4137" ht="15.75" customHeight="1" x14ac:dyDescent="0.25"/>
    <row r="4138" ht="15.75" customHeight="1" x14ac:dyDescent="0.25"/>
    <row r="4139" ht="15.75" customHeight="1" x14ac:dyDescent="0.25"/>
    <row r="4140" ht="15.75" customHeight="1" x14ac:dyDescent="0.25"/>
    <row r="4141" ht="15.75" customHeight="1" x14ac:dyDescent="0.25"/>
    <row r="4142" ht="15.75" customHeight="1" x14ac:dyDescent="0.25"/>
    <row r="4143" ht="15.75" customHeight="1" x14ac:dyDescent="0.25"/>
    <row r="4144" ht="15.75" customHeight="1" x14ac:dyDescent="0.25"/>
    <row r="4145" ht="15.75" customHeight="1" x14ac:dyDescent="0.25"/>
    <row r="4146" ht="15.75" customHeight="1" x14ac:dyDescent="0.25"/>
    <row r="4147" ht="15.75" customHeight="1" x14ac:dyDescent="0.25"/>
    <row r="4148" ht="15.75" customHeight="1" x14ac:dyDescent="0.25"/>
    <row r="4149" ht="15.75" customHeight="1" x14ac:dyDescent="0.25"/>
    <row r="4150" ht="15.75" customHeight="1" x14ac:dyDescent="0.25"/>
    <row r="4151" ht="15.75" customHeight="1" x14ac:dyDescent="0.25"/>
    <row r="4152" ht="15.75" customHeight="1" x14ac:dyDescent="0.25"/>
    <row r="4153" ht="15.75" customHeight="1" x14ac:dyDescent="0.25"/>
    <row r="4154" ht="15.75" customHeight="1" x14ac:dyDescent="0.25"/>
    <row r="4155" ht="15.75" customHeight="1" x14ac:dyDescent="0.25"/>
    <row r="4156" ht="15.75" customHeight="1" x14ac:dyDescent="0.25"/>
    <row r="4157" ht="15.75" customHeight="1" x14ac:dyDescent="0.25"/>
    <row r="4158" ht="15.75" customHeight="1" x14ac:dyDescent="0.25"/>
    <row r="4159" ht="15.75" customHeight="1" x14ac:dyDescent="0.25"/>
    <row r="4160" ht="15.75" customHeight="1" x14ac:dyDescent="0.25"/>
    <row r="4161" ht="15.75" customHeight="1" x14ac:dyDescent="0.25"/>
    <row r="4162" ht="15.75" customHeight="1" x14ac:dyDescent="0.25"/>
    <row r="4163" ht="15.75" customHeight="1" x14ac:dyDescent="0.25"/>
    <row r="4164" ht="15.75" customHeight="1" x14ac:dyDescent="0.25"/>
    <row r="4165" ht="15.75" customHeight="1" x14ac:dyDescent="0.25"/>
    <row r="4166" ht="15.75" customHeight="1" x14ac:dyDescent="0.25"/>
    <row r="4167" ht="15.75" customHeight="1" x14ac:dyDescent="0.25"/>
    <row r="4168" ht="15.75" customHeight="1" x14ac:dyDescent="0.25"/>
    <row r="4169" ht="15.75" customHeight="1" x14ac:dyDescent="0.25"/>
    <row r="4170" ht="15.75" customHeight="1" x14ac:dyDescent="0.25"/>
    <row r="4171" ht="15.75" customHeight="1" x14ac:dyDescent="0.25"/>
    <row r="4172" ht="15.75" customHeight="1" x14ac:dyDescent="0.25"/>
    <row r="4173" ht="15.75" customHeight="1" x14ac:dyDescent="0.25"/>
    <row r="4174" ht="15.75" customHeight="1" x14ac:dyDescent="0.25"/>
    <row r="4175" ht="15.75" customHeight="1" x14ac:dyDescent="0.25"/>
    <row r="4176" ht="15.75" customHeight="1" x14ac:dyDescent="0.25"/>
    <row r="4177" ht="15.75" customHeight="1" x14ac:dyDescent="0.25"/>
    <row r="4178" ht="15.75" customHeight="1" x14ac:dyDescent="0.25"/>
    <row r="4179" ht="15.75" customHeight="1" x14ac:dyDescent="0.25"/>
    <row r="4180" ht="15.75" customHeight="1" x14ac:dyDescent="0.25"/>
    <row r="4181" ht="15.75" customHeight="1" x14ac:dyDescent="0.25"/>
    <row r="4182" ht="15.75" customHeight="1" x14ac:dyDescent="0.25"/>
    <row r="4183" ht="15.75" customHeight="1" x14ac:dyDescent="0.25"/>
    <row r="4184" ht="15.75" customHeight="1" x14ac:dyDescent="0.25"/>
    <row r="4185" ht="15.75" customHeight="1" x14ac:dyDescent="0.25"/>
    <row r="4186" ht="15.75" customHeight="1" x14ac:dyDescent="0.25"/>
    <row r="4187" ht="15.75" customHeight="1" x14ac:dyDescent="0.25"/>
    <row r="4188" ht="15.75" customHeight="1" x14ac:dyDescent="0.25"/>
    <row r="4189" ht="15.75" customHeight="1" x14ac:dyDescent="0.25"/>
    <row r="4190" ht="15.75" customHeight="1" x14ac:dyDescent="0.25"/>
    <row r="4191" ht="15.75" customHeight="1" x14ac:dyDescent="0.25"/>
    <row r="4192" ht="15.75" customHeight="1" x14ac:dyDescent="0.25"/>
    <row r="4193" ht="15.75" customHeight="1" x14ac:dyDescent="0.25"/>
    <row r="4194" ht="15.75" customHeight="1" x14ac:dyDescent="0.25"/>
    <row r="4195" ht="15.75" customHeight="1" x14ac:dyDescent="0.25"/>
    <row r="4196" ht="15.75" customHeight="1" x14ac:dyDescent="0.25"/>
    <row r="4197" ht="15.75" customHeight="1" x14ac:dyDescent="0.25"/>
    <row r="4198" ht="15.75" customHeight="1" x14ac:dyDescent="0.25"/>
    <row r="4199" ht="15.75" customHeight="1" x14ac:dyDescent="0.25"/>
    <row r="4200" ht="15.75" customHeight="1" x14ac:dyDescent="0.25"/>
    <row r="4201" ht="15.75" customHeight="1" x14ac:dyDescent="0.25"/>
    <row r="4202" ht="15.75" customHeight="1" x14ac:dyDescent="0.25"/>
    <row r="4203" ht="15.75" customHeight="1" x14ac:dyDescent="0.25"/>
    <row r="4204" ht="15.75" customHeight="1" x14ac:dyDescent="0.25"/>
    <row r="4205" ht="15.75" customHeight="1" x14ac:dyDescent="0.25"/>
    <row r="4206" ht="15.75" customHeight="1" x14ac:dyDescent="0.25"/>
    <row r="4207" ht="15.75" customHeight="1" x14ac:dyDescent="0.25"/>
    <row r="4208" ht="15.75" customHeight="1" x14ac:dyDescent="0.25"/>
    <row r="4209" ht="15.75" customHeight="1" x14ac:dyDescent="0.25"/>
    <row r="4210" ht="15.75" customHeight="1" x14ac:dyDescent="0.25"/>
    <row r="4211" ht="15.75" customHeight="1" x14ac:dyDescent="0.25"/>
    <row r="4212" ht="15.75" customHeight="1" x14ac:dyDescent="0.25"/>
    <row r="4213" ht="15.75" customHeight="1" x14ac:dyDescent="0.25"/>
    <row r="4214" ht="15.75" customHeight="1" x14ac:dyDescent="0.25"/>
    <row r="4215" ht="15.75" customHeight="1" x14ac:dyDescent="0.25"/>
    <row r="4216" ht="15.75" customHeight="1" x14ac:dyDescent="0.25"/>
    <row r="4217" ht="15.75" customHeight="1" x14ac:dyDescent="0.25"/>
    <row r="4218" ht="15.75" customHeight="1" x14ac:dyDescent="0.25"/>
    <row r="4219" ht="15.75" customHeight="1" x14ac:dyDescent="0.25"/>
    <row r="4220" ht="15.75" customHeight="1" x14ac:dyDescent="0.25"/>
    <row r="4221" ht="15.75" customHeight="1" x14ac:dyDescent="0.25"/>
    <row r="4222" ht="15.75" customHeight="1" x14ac:dyDescent="0.25"/>
    <row r="4223" ht="15.75" customHeight="1" x14ac:dyDescent="0.25"/>
    <row r="4224" ht="15.75" customHeight="1" x14ac:dyDescent="0.25"/>
    <row r="4225" ht="15.75" customHeight="1" x14ac:dyDescent="0.25"/>
    <row r="4226" ht="15.75" customHeight="1" x14ac:dyDescent="0.25"/>
    <row r="4227" ht="15.75" customHeight="1" x14ac:dyDescent="0.25"/>
    <row r="4228" ht="15.75" customHeight="1" x14ac:dyDescent="0.25"/>
    <row r="4229" ht="15.75" customHeight="1" x14ac:dyDescent="0.25"/>
    <row r="4230" ht="15.75" customHeight="1" x14ac:dyDescent="0.25"/>
    <row r="4231" ht="15.75" customHeight="1" x14ac:dyDescent="0.25"/>
    <row r="4232" ht="15.75" customHeight="1" x14ac:dyDescent="0.25"/>
    <row r="4233" ht="15.75" customHeight="1" x14ac:dyDescent="0.25"/>
    <row r="4234" ht="15.75" customHeight="1" x14ac:dyDescent="0.25"/>
    <row r="4235" ht="15.75" customHeight="1" x14ac:dyDescent="0.25"/>
    <row r="4236" ht="15.75" customHeight="1" x14ac:dyDescent="0.25"/>
    <row r="4237" ht="15.75" customHeight="1" x14ac:dyDescent="0.25"/>
    <row r="4238" ht="15.75" customHeight="1" x14ac:dyDescent="0.25"/>
    <row r="4239" ht="15.75" customHeight="1" x14ac:dyDescent="0.25"/>
    <row r="4240" ht="15.75" customHeight="1" x14ac:dyDescent="0.25"/>
    <row r="4241" ht="15.75" customHeight="1" x14ac:dyDescent="0.25"/>
    <row r="4242" ht="15.75" customHeight="1" x14ac:dyDescent="0.25"/>
    <row r="4243" ht="15.75" customHeight="1" x14ac:dyDescent="0.25"/>
    <row r="4244" ht="15.75" customHeight="1" x14ac:dyDescent="0.25"/>
    <row r="4245" ht="15.75" customHeight="1" x14ac:dyDescent="0.25"/>
    <row r="4246" ht="15.75" customHeight="1" x14ac:dyDescent="0.25"/>
    <row r="4247" ht="15.75" customHeight="1" x14ac:dyDescent="0.25"/>
    <row r="4248" ht="15.75" customHeight="1" x14ac:dyDescent="0.25"/>
    <row r="4249" ht="15.75" customHeight="1" x14ac:dyDescent="0.25"/>
    <row r="4250" ht="15.75" customHeight="1" x14ac:dyDescent="0.25"/>
    <row r="4251" ht="15.75" customHeight="1" x14ac:dyDescent="0.25"/>
    <row r="4252" ht="15.75" customHeight="1" x14ac:dyDescent="0.25"/>
    <row r="4253" ht="15.75" customHeight="1" x14ac:dyDescent="0.25"/>
    <row r="4254" ht="15.75" customHeight="1" x14ac:dyDescent="0.25"/>
    <row r="4255" ht="15.75" customHeight="1" x14ac:dyDescent="0.25"/>
    <row r="4256" ht="15.75" customHeight="1" x14ac:dyDescent="0.25"/>
    <row r="4257" ht="15.75" customHeight="1" x14ac:dyDescent="0.25"/>
    <row r="4258" ht="15.75" customHeight="1" x14ac:dyDescent="0.25"/>
    <row r="4259" ht="15.75" customHeight="1" x14ac:dyDescent="0.25"/>
    <row r="4260" ht="15.75" customHeight="1" x14ac:dyDescent="0.25"/>
    <row r="4261" ht="15.75" customHeight="1" x14ac:dyDescent="0.25"/>
    <row r="4262" ht="15.75" customHeight="1" x14ac:dyDescent="0.25"/>
    <row r="4263" ht="15.75" customHeight="1" x14ac:dyDescent="0.25"/>
    <row r="4264" ht="15.75" customHeight="1" x14ac:dyDescent="0.25"/>
    <row r="4265" ht="15.75" customHeight="1" x14ac:dyDescent="0.25"/>
    <row r="4266" ht="15.75" customHeight="1" x14ac:dyDescent="0.25"/>
    <row r="4267" ht="15.75" customHeight="1" x14ac:dyDescent="0.25"/>
    <row r="4268" ht="15.75" customHeight="1" x14ac:dyDescent="0.25"/>
    <row r="4269" ht="15.75" customHeight="1" x14ac:dyDescent="0.25"/>
    <row r="4270" ht="15.75" customHeight="1" x14ac:dyDescent="0.25"/>
    <row r="4271" ht="15.75" customHeight="1" x14ac:dyDescent="0.25"/>
    <row r="4272" ht="15.75" customHeight="1" x14ac:dyDescent="0.25"/>
    <row r="4273" ht="15.75" customHeight="1" x14ac:dyDescent="0.25"/>
    <row r="4274" ht="15.75" customHeight="1" x14ac:dyDescent="0.25"/>
    <row r="4275" ht="15.75" customHeight="1" x14ac:dyDescent="0.25"/>
    <row r="4276" ht="15.75" customHeight="1" x14ac:dyDescent="0.25"/>
    <row r="4277" ht="15.75" customHeight="1" x14ac:dyDescent="0.25"/>
    <row r="4278" ht="15.75" customHeight="1" x14ac:dyDescent="0.25"/>
    <row r="4279" ht="15.75" customHeight="1" x14ac:dyDescent="0.25"/>
    <row r="4280" ht="15.75" customHeight="1" x14ac:dyDescent="0.25"/>
    <row r="4281" ht="15.75" customHeight="1" x14ac:dyDescent="0.25"/>
    <row r="4282" ht="15.75" customHeight="1" x14ac:dyDescent="0.25"/>
    <row r="4283" ht="15.75" customHeight="1" x14ac:dyDescent="0.25"/>
    <row r="4284" ht="15.75" customHeight="1" x14ac:dyDescent="0.25"/>
    <row r="4285" ht="15.75" customHeight="1" x14ac:dyDescent="0.25"/>
    <row r="4286" ht="15.75" customHeight="1" x14ac:dyDescent="0.25"/>
    <row r="4287" ht="15.75" customHeight="1" x14ac:dyDescent="0.25"/>
    <row r="4288" ht="15.75" customHeight="1" x14ac:dyDescent="0.25"/>
    <row r="4289" ht="15.75" customHeight="1" x14ac:dyDescent="0.25"/>
    <row r="4290" ht="15.75" customHeight="1" x14ac:dyDescent="0.25"/>
    <row r="4291" ht="15.75" customHeight="1" x14ac:dyDescent="0.25"/>
    <row r="4292" ht="15.75" customHeight="1" x14ac:dyDescent="0.25"/>
    <row r="4293" ht="15.75" customHeight="1" x14ac:dyDescent="0.25"/>
    <row r="4294" ht="15.75" customHeight="1" x14ac:dyDescent="0.25"/>
    <row r="4295" ht="15.75" customHeight="1" x14ac:dyDescent="0.25"/>
    <row r="4296" ht="15.75" customHeight="1" x14ac:dyDescent="0.25"/>
    <row r="4297" ht="15.75" customHeight="1" x14ac:dyDescent="0.25"/>
    <row r="4298" ht="15.75" customHeight="1" x14ac:dyDescent="0.25"/>
    <row r="4299" ht="15.75" customHeight="1" x14ac:dyDescent="0.25"/>
    <row r="4300" ht="15.75" customHeight="1" x14ac:dyDescent="0.25"/>
    <row r="4301" ht="15.75" customHeight="1" x14ac:dyDescent="0.25"/>
    <row r="4302" ht="15.75" customHeight="1" x14ac:dyDescent="0.25"/>
    <row r="4303" ht="15.75" customHeight="1" x14ac:dyDescent="0.25"/>
    <row r="4304" ht="15.75" customHeight="1" x14ac:dyDescent="0.25"/>
    <row r="4305" spans="1:1" ht="15.75" customHeight="1" x14ac:dyDescent="0.25"/>
    <row r="4306" spans="1:1" ht="15.75" customHeight="1" x14ac:dyDescent="0.25"/>
    <row r="4307" spans="1:1" ht="15.75" customHeight="1" x14ac:dyDescent="0.25"/>
    <row r="4308" spans="1:1" ht="15.75" customHeight="1" x14ac:dyDescent="0.25"/>
    <row r="4309" spans="1:1" ht="15.75" customHeight="1" x14ac:dyDescent="0.25"/>
    <row r="4310" spans="1:1" ht="15.75" customHeight="1" x14ac:dyDescent="0.25"/>
    <row r="4311" spans="1:1" ht="15.75" customHeight="1" x14ac:dyDescent="0.25"/>
    <row r="4312" spans="1:1" ht="15" customHeight="1" x14ac:dyDescent="0.25">
      <c r="A4312" s="1" t="s">
        <v>94</v>
      </c>
    </row>
  </sheetData>
  <mergeCells count="2">
    <mergeCell ref="F23:F24"/>
    <mergeCell ref="E134:F134"/>
  </mergeCells>
  <pageMargins left="0.75" right="0.75" top="1" bottom="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L1000"/>
  <sheetViews>
    <sheetView workbookViewId="0"/>
  </sheetViews>
  <sheetFormatPr defaultColWidth="12.54296875" defaultRowHeight="15" customHeight="1" x14ac:dyDescent="0.25"/>
  <cols>
    <col min="1" max="6" width="8.453125" customWidth="1"/>
    <col min="7" max="26" width="12.453125" customWidth="1"/>
  </cols>
  <sheetData>
    <row r="1" spans="4:12" ht="12.75" customHeight="1" x14ac:dyDescent="0.25"/>
    <row r="2" spans="4:12" ht="12.75" customHeight="1" x14ac:dyDescent="0.25"/>
    <row r="3" spans="4:12" ht="12.75" customHeight="1" x14ac:dyDescent="0.25"/>
    <row r="4" spans="4:12" ht="12.75" customHeight="1" x14ac:dyDescent="0.25">
      <c r="E4" s="14" t="s">
        <v>95</v>
      </c>
      <c r="F4" s="14" t="s">
        <v>96</v>
      </c>
      <c r="G4" s="14" t="s">
        <v>27</v>
      </c>
      <c r="H4" s="14" t="s">
        <v>97</v>
      </c>
      <c r="I4" s="14" t="s">
        <v>10</v>
      </c>
      <c r="J4" s="14" t="s">
        <v>45</v>
      </c>
    </row>
    <row r="5" spans="4:12" ht="12.75" customHeight="1" x14ac:dyDescent="0.25">
      <c r="D5" s="14" t="s">
        <v>98</v>
      </c>
      <c r="E5" s="14">
        <v>87580</v>
      </c>
      <c r="F5" s="14">
        <v>22000</v>
      </c>
      <c r="G5" s="14">
        <v>10000</v>
      </c>
      <c r="H5" s="14">
        <v>20250</v>
      </c>
      <c r="I5" s="14">
        <v>5750</v>
      </c>
      <c r="J5" s="14">
        <f t="shared" ref="J5:J8" si="0">SUM(E5:I5)</f>
        <v>145580</v>
      </c>
    </row>
    <row r="6" spans="4:12" ht="12.75" customHeight="1" x14ac:dyDescent="0.25">
      <c r="D6" s="14" t="s">
        <v>99</v>
      </c>
      <c r="E6" s="14">
        <v>87580</v>
      </c>
      <c r="F6" s="14">
        <v>22000</v>
      </c>
      <c r="G6" s="14">
        <v>10000</v>
      </c>
      <c r="H6" s="14">
        <v>20250</v>
      </c>
      <c r="I6" s="14">
        <v>5750</v>
      </c>
      <c r="J6" s="14">
        <f t="shared" si="0"/>
        <v>145580</v>
      </c>
    </row>
    <row r="7" spans="4:12" ht="12.75" customHeight="1" x14ac:dyDescent="0.25">
      <c r="D7" s="14" t="s">
        <v>100</v>
      </c>
      <c r="E7" s="14">
        <v>94304</v>
      </c>
      <c r="F7" s="14">
        <v>22000</v>
      </c>
      <c r="G7" s="14">
        <v>10000</v>
      </c>
      <c r="H7" s="14">
        <v>20250</v>
      </c>
      <c r="I7" s="14">
        <v>5750</v>
      </c>
      <c r="J7" s="14">
        <f t="shared" si="0"/>
        <v>152304</v>
      </c>
    </row>
    <row r="8" spans="4:12" ht="12.75" customHeight="1" x14ac:dyDescent="0.25">
      <c r="D8" s="14" t="s">
        <v>101</v>
      </c>
      <c r="E8" s="14">
        <f>87580-28</f>
        <v>87552</v>
      </c>
      <c r="F8" s="14">
        <v>22000</v>
      </c>
      <c r="G8" s="14">
        <v>10000</v>
      </c>
      <c r="H8" s="14">
        <v>20250</v>
      </c>
      <c r="I8" s="14">
        <v>5750</v>
      </c>
      <c r="J8" s="14">
        <f t="shared" si="0"/>
        <v>145552</v>
      </c>
    </row>
    <row r="9" spans="4:12" ht="12.75" customHeight="1" x14ac:dyDescent="0.25">
      <c r="D9" s="14" t="s">
        <v>45</v>
      </c>
      <c r="E9" s="14">
        <f t="shared" ref="E9:J9" si="1">SUM(E5:E8)</f>
        <v>357016</v>
      </c>
      <c r="F9" s="14">
        <f t="shared" si="1"/>
        <v>88000</v>
      </c>
      <c r="G9" s="14">
        <f t="shared" si="1"/>
        <v>40000</v>
      </c>
      <c r="H9" s="14">
        <f t="shared" si="1"/>
        <v>81000</v>
      </c>
      <c r="I9" s="14">
        <f t="shared" si="1"/>
        <v>23000</v>
      </c>
      <c r="J9" s="14">
        <f t="shared" si="1"/>
        <v>589016</v>
      </c>
      <c r="K9" s="14">
        <v>589016</v>
      </c>
    </row>
    <row r="10" spans="4:12" ht="12.75" customHeight="1" x14ac:dyDescent="0.25">
      <c r="K10" s="14">
        <f>K9-J9</f>
        <v>0</v>
      </c>
      <c r="L10" s="14">
        <f>K10/3</f>
        <v>0</v>
      </c>
    </row>
    <row r="11" spans="4:12" ht="12.75" customHeight="1" x14ac:dyDescent="0.25"/>
    <row r="12" spans="4:12" ht="12.75" customHeight="1" x14ac:dyDescent="0.25"/>
    <row r="13" spans="4:12" ht="12.75" customHeight="1" x14ac:dyDescent="0.25"/>
    <row r="14" spans="4:12" ht="12.75" customHeight="1" x14ac:dyDescent="0.25"/>
    <row r="15" spans="4:12" ht="12.75" customHeight="1" x14ac:dyDescent="0.25"/>
    <row r="16" spans="4:1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54296875" defaultRowHeight="15" customHeight="1" x14ac:dyDescent="0.25"/>
  <cols>
    <col min="1" max="6" width="8.453125" customWidth="1"/>
    <col min="7" max="26" width="12.453125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</dc:creator>
  <cp:lastModifiedBy>Akbar Hussein</cp:lastModifiedBy>
  <dcterms:created xsi:type="dcterms:W3CDTF">2003-06-20T07:11:40Z</dcterms:created>
  <dcterms:modified xsi:type="dcterms:W3CDTF">2026-10-07T12:52:27Z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409462916</vt:i4>
  </property>
  <property fmtid="{D5CDD505-2E9C-101B-9397-08002B2CF9AE}" pid="3" name="_EmailSubject">
    <vt:lpwstr>Accounts format</vt:lpwstr>
  </property>
  <property fmtid="{D5CDD505-2E9C-101B-9397-08002B2CF9AE}" pid="4" name="_AuthorEmail">
    <vt:lpwstr>ahussein@Bukhatir.ae</vt:lpwstr>
  </property>
  <property fmtid="{D5CDD505-2E9C-101B-9397-08002B2CF9AE}" pid="5" name="_AuthorEmailDisplayName">
    <vt:lpwstr>Akbar Hussein</vt:lpwstr>
  </property>
  <property fmtid="{D5CDD505-2E9C-101B-9397-08002B2CF9AE}" pid="6" name="_ReviewingToolsShownOnce">
    <vt:lpwstr/>
  </property>
  <property fmtid="{D5CDD505-2E9C-101B-9397-08002B2CF9AE}" pid="7" name="ContentTypeId">
    <vt:lpwstr>0x0101008910367A0E5E6F4B988487980DB2B1DB</vt:lpwstr>
  </property>
  <property fmtid="{D5CDD505-2E9C-101B-9397-08002B2CF9AE}" pid="8" name="MSIP_Label_defa4170-0d19-0005-0004-bc88714345d2_Enabled">
    <vt:lpwstr>true</vt:lpwstr>
  </property>
  <property fmtid="{D5CDD505-2E9C-101B-9397-08002B2CF9AE}" pid="9" name="MSIP_Label_defa4170-0d19-0005-0004-bc88714345d2_SetDate">
    <vt:lpwstr>2024-12-02T11:48:08Z</vt:lpwstr>
  </property>
  <property fmtid="{D5CDD505-2E9C-101B-9397-08002B2CF9AE}" pid="10" name="MSIP_Label_defa4170-0d19-0005-0004-bc88714345d2_Method">
    <vt:lpwstr>Standard</vt:lpwstr>
  </property>
  <property fmtid="{D5CDD505-2E9C-101B-9397-08002B2CF9AE}" pid="11" name="MSIP_Label_defa4170-0d19-0005-0004-bc88714345d2_Name">
    <vt:lpwstr>defa4170-0d19-0005-0004-bc88714345d2</vt:lpwstr>
  </property>
  <property fmtid="{D5CDD505-2E9C-101B-9397-08002B2CF9AE}" pid="12" name="MSIP_Label_defa4170-0d19-0005-0004-bc88714345d2_SiteId">
    <vt:lpwstr>6a0ddb0e-68ae-4d27-aec0-b96612400cc0</vt:lpwstr>
  </property>
  <property fmtid="{D5CDD505-2E9C-101B-9397-08002B2CF9AE}" pid="13" name="MSIP_Label_defa4170-0d19-0005-0004-bc88714345d2_ActionId">
    <vt:lpwstr>2b5ab0bd-3b66-4061-aa0c-250c760fef25</vt:lpwstr>
  </property>
  <property fmtid="{D5CDD505-2E9C-101B-9397-08002B2CF9AE}" pid="14" name="MSIP_Label_defa4170-0d19-0005-0004-bc88714345d2_ContentBits">
    <vt:lpwstr>0</vt:lpwstr>
  </property>
</Properties>
</file>